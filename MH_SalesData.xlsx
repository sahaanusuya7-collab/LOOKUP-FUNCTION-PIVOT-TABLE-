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SUYA SAHA\Downloads\"/>
    </mc:Choice>
  </mc:AlternateContent>
  <xr:revisionPtr revIDLastSave="0" documentId="13_ncr:1_{41075252-F5E2-413B-85A1-EC3C70BA6D81}" xr6:coauthVersionLast="47" xr6:coauthVersionMax="47" xr10:uidLastSave="{00000000-0000-0000-0000-000000000000}"/>
  <bookViews>
    <workbookView xWindow="-108" yWindow="-108" windowWidth="23256" windowHeight="13176" firstSheet="1" activeTab="14" xr2:uid="{00000000-000D-0000-FFFF-FFFF00000000}"/>
  </bookViews>
  <sheets>
    <sheet name="SalesData" sheetId="1" r:id="rId1"/>
    <sheet name="Sales_Report" sheetId="3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  <sheet name="Q8" sheetId="10" r:id="rId9"/>
    <sheet name="Q9" sheetId="11" r:id="rId10"/>
    <sheet name="Q10" sheetId="12" r:id="rId11"/>
    <sheet name="Q11" sheetId="13" r:id="rId12"/>
    <sheet name="Q12" sheetId="14" r:id="rId13"/>
    <sheet name="Q13" sheetId="15" r:id="rId14"/>
    <sheet name="Q14" sheetId="16" r:id="rId15"/>
  </sheets>
  <definedNames>
    <definedName name="_xlnm._FilterDatabase" localSheetId="3" hidden="1">'Q3'!$A$1:$K$401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6" l="1"/>
  <c r="L2" i="16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2" i="15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2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P366" i="14"/>
  <c r="P367" i="14"/>
  <c r="P368" i="14"/>
  <c r="P369" i="14"/>
  <c r="P370" i="14"/>
  <c r="P371" i="14"/>
  <c r="P372" i="14"/>
  <c r="P373" i="14"/>
  <c r="P374" i="14"/>
  <c r="P375" i="14"/>
  <c r="P376" i="14"/>
  <c r="P377" i="14"/>
  <c r="P378" i="14"/>
  <c r="P379" i="14"/>
  <c r="P380" i="14"/>
  <c r="P381" i="14"/>
  <c r="P382" i="14"/>
  <c r="P383" i="14"/>
  <c r="P384" i="14"/>
  <c r="P385" i="14"/>
  <c r="P386" i="14"/>
  <c r="P387" i="14"/>
  <c r="P388" i="14"/>
  <c r="P389" i="14"/>
  <c r="P390" i="14"/>
  <c r="P391" i="14"/>
  <c r="P392" i="14"/>
  <c r="P393" i="14"/>
  <c r="P394" i="14"/>
  <c r="P395" i="14"/>
  <c r="P396" i="14"/>
  <c r="P397" i="14"/>
  <c r="P398" i="14"/>
  <c r="P399" i="14"/>
  <c r="P400" i="14"/>
  <c r="P401" i="14"/>
  <c r="P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2" i="14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2" i="13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2" i="12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2" i="1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2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2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2" i="7"/>
  <c r="G402" i="6"/>
  <c r="F402" i="6"/>
  <c r="F403" i="6"/>
  <c r="G404" i="6"/>
  <c r="G403" i="6"/>
</calcChain>
</file>

<file path=xl/sharedStrings.xml><?xml version="1.0" encoding="utf-8"?>
<sst xmlns="http://schemas.openxmlformats.org/spreadsheetml/2006/main" count="31694" uniqueCount="85">
  <si>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</si>
  <si>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</si>
  <si>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</si>
  <si>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</si>
  <si>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</si>
  <si>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</si>
  <si>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</si>
  <si>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</si>
  <si>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</si>
  <si>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</si>
  <si>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</si>
  <si>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</si>
  <si>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</si>
  <si>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</si>
  <si>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</si>
  <si>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</si>
  <si>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</si>
  <si>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</si>
  <si>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</si>
  <si>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</si>
  <si>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</si>
  <si>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</si>
  <si>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</si>
  <si>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</si>
  <si>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</si>
  <si>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</si>
  <si>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</si>
  <si>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</si>
  <si>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</si>
  <si>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</si>
  <si>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</si>
  <si>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</si>
  <si>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</si>
  <si>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</si>
  <si>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</si>
  <si>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</si>
  <si>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</si>
  <si>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</si>
  <si>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</si>
  <si>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</si>
  <si>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</si>
  <si>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</si>
  <si>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</si>
  <si>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</si>
  <si>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</si>
  <si>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</si>
  <si>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</si>
  <si>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</si>
  <si>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</si>
  <si>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</si>
  <si>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</si>
  <si>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</si>
  <si>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</si>
  <si>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</si>
  <si>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</si>
  <si>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</si>
  <si>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</si>
  <si>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</si>
  <si>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</si>
  <si>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</si>
  <si>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</si>
  <si>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</si>
  <si>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SUM</t>
  </si>
  <si>
    <t>TOTAL ORDER</t>
  </si>
  <si>
    <t>AVERAGE</t>
  </si>
  <si>
    <t>MIN</t>
  </si>
  <si>
    <t>MAX</t>
  </si>
  <si>
    <t>Order_Type</t>
  </si>
  <si>
    <t>Dicount_Eeligibility</t>
  </si>
  <si>
    <t>Priorty_Order</t>
  </si>
  <si>
    <t>Final_Amount</t>
  </si>
  <si>
    <t>Sales_Grade</t>
  </si>
  <si>
    <t>Customer_Product</t>
  </si>
  <si>
    <t>Customer_Code</t>
  </si>
  <si>
    <t>Product_Code</t>
  </si>
  <si>
    <t xml:space="preserve">Short Product Name </t>
  </si>
  <si>
    <t>Customer_Upper</t>
  </si>
  <si>
    <t>Product_Lower</t>
  </si>
  <si>
    <t>Product_Length</t>
  </si>
  <si>
    <t>Current_date</t>
  </si>
  <si>
    <t>Current_date_time</t>
  </si>
  <si>
    <t>Order_Age</t>
  </si>
  <si>
    <t>Delivery_Day</t>
  </si>
  <si>
    <t>FY_Start_Date</t>
  </si>
  <si>
    <t>Total_sale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</si>
</sst>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2" fontId="0" fillId="0" borderId="0" xfId="0" applyNumberForma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01"/>
  <sheetViews>
    <sheetView workbookViewId="0">
      <selection sqref="A1:K4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</row>
    <row r="3" spans="1:1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</row>
    <row r="4" spans="1:1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</row>
    <row r="5" spans="1:1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</row>
    <row r="6" spans="1:1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</row>
    <row r="7" spans="1:1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</row>
    <row r="8" spans="1:1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</row>
    <row r="9" spans="1:1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</row>
    <row r="10" spans="1:11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</row>
    <row r="11" spans="1:1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</row>
    <row r="12" spans="1:1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</row>
    <row r="13" spans="1:11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</row>
    <row r="14" spans="1:1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</row>
    <row r="15" spans="1:11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</row>
    <row r="16" spans="1:1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</row>
    <row r="17" spans="1:1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</row>
    <row r="18" spans="1:1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</row>
    <row r="19" spans="1:1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</row>
    <row r="20" spans="1:1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</row>
    <row r="21" spans="1:1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</row>
    <row r="22" spans="1:1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</row>
    <row r="23" spans="1:1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</row>
    <row r="24" spans="1:1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</row>
    <row r="25" spans="1:1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</row>
    <row r="26" spans="1:1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</row>
    <row r="27" spans="1:1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</row>
    <row r="28" spans="1:1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</row>
    <row r="29" spans="1:1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</row>
    <row r="30" spans="1:1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</row>
    <row r="31" spans="1:1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</row>
    <row r="32" spans="1:1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</row>
    <row r="33" spans="1:1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</row>
    <row r="34" spans="1:1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</row>
    <row r="35" spans="1:1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</row>
    <row r="36" spans="1:1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</row>
    <row r="37" spans="1:1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</row>
    <row r="38" spans="1:1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</row>
    <row r="39" spans="1:1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</row>
    <row r="40" spans="1:1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</row>
    <row r="41" spans="1:1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</row>
    <row r="42" spans="1:1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</row>
    <row r="43" spans="1:1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</row>
    <row r="44" spans="1:1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</row>
    <row r="45" spans="1:1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</row>
    <row r="46" spans="1:1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</row>
    <row r="47" spans="1:1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</row>
    <row r="48" spans="1:1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</row>
    <row r="49" spans="1:1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</row>
    <row r="50" spans="1:1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</row>
    <row r="51" spans="1:1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</row>
    <row r="52" spans="1:1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</row>
    <row r="53" spans="1:1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</row>
    <row r="54" spans="1:1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</row>
    <row r="55" spans="1:1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</row>
    <row r="56" spans="1:1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</row>
    <row r="57" spans="1:1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</row>
    <row r="58" spans="1:1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</row>
    <row r="59" spans="1:1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</row>
    <row r="60" spans="1:1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</row>
    <row r="61" spans="1:1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</row>
    <row r="62" spans="1:1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</row>
    <row r="63" spans="1:1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</row>
    <row r="64" spans="1:1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</row>
    <row r="65" spans="1:1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</row>
    <row r="66" spans="1:1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</row>
    <row r="67" spans="1:1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</row>
    <row r="68" spans="1:1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</row>
    <row r="69" spans="1:1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</row>
    <row r="70" spans="1:1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</row>
    <row r="71" spans="1:1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</row>
    <row r="72" spans="1:1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</row>
    <row r="73" spans="1:1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</row>
    <row r="74" spans="1:1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</row>
    <row r="75" spans="1:1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</row>
    <row r="76" spans="1:1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</row>
    <row r="77" spans="1:1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</row>
    <row r="78" spans="1:1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</row>
    <row r="79" spans="1:1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</row>
    <row r="80" spans="1:1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</row>
    <row r="81" spans="1:1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</row>
    <row r="82" spans="1:1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</row>
    <row r="83" spans="1:1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</row>
    <row r="84" spans="1:1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</row>
    <row r="85" spans="1:1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</row>
    <row r="86" spans="1:1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</row>
    <row r="87" spans="1:1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</row>
    <row r="88" spans="1:1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</row>
    <row r="89" spans="1:1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</row>
    <row r="90" spans="1:1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</row>
    <row r="91" spans="1:1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</row>
    <row r="92" spans="1:1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</row>
    <row r="93" spans="1:1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</row>
    <row r="94" spans="1:1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</row>
    <row r="95" spans="1:1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</row>
    <row r="96" spans="1:1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</row>
    <row r="97" spans="1:1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</row>
    <row r="98" spans="1:1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</row>
    <row r="99" spans="1:1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</row>
    <row r="100" spans="1:1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</row>
    <row r="101" spans="1:1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</row>
    <row r="102" spans="1:1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</row>
    <row r="103" spans="1:1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</row>
    <row r="104" spans="1:1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</row>
    <row r="105" spans="1:1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</row>
    <row r="106" spans="1:1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</row>
    <row r="107" spans="1:1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</row>
    <row r="108" spans="1:1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</row>
    <row r="109" spans="1:1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</row>
    <row r="110" spans="1:1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</row>
    <row r="111" spans="1:1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</row>
    <row r="112" spans="1:1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</row>
    <row r="113" spans="1:1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</row>
    <row r="114" spans="1:1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</row>
    <row r="115" spans="1:1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</row>
    <row r="116" spans="1:1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</row>
    <row r="117" spans="1:1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</row>
    <row r="118" spans="1:1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</row>
    <row r="119" spans="1:1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</row>
    <row r="120" spans="1:1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</row>
    <row r="121" spans="1:1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</row>
    <row r="122" spans="1:1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</row>
    <row r="123" spans="1:1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</row>
    <row r="124" spans="1:1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</row>
    <row r="125" spans="1:1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</row>
    <row r="126" spans="1:1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</row>
    <row r="127" spans="1:1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</row>
    <row r="128" spans="1:1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</row>
    <row r="129" spans="1:1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</row>
    <row r="130" spans="1:1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</row>
    <row r="131" spans="1:1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</row>
    <row r="132" spans="1:1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</row>
    <row r="133" spans="1:1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</row>
    <row r="134" spans="1:1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</row>
    <row r="135" spans="1:1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</row>
    <row r="136" spans="1:1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</row>
    <row r="137" spans="1:1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</row>
    <row r="138" spans="1:1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</row>
    <row r="139" spans="1:1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</row>
    <row r="140" spans="1:1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</row>
    <row r="141" spans="1:1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</row>
    <row r="142" spans="1:1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</row>
    <row r="143" spans="1:1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</row>
    <row r="144" spans="1:1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</row>
    <row r="145" spans="1:1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</row>
    <row r="146" spans="1:1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</row>
    <row r="147" spans="1:1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</row>
    <row r="148" spans="1:1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</row>
    <row r="149" spans="1:1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</row>
    <row r="150" spans="1:1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</row>
    <row r="151" spans="1:1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</row>
    <row r="152" spans="1:1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</row>
    <row r="153" spans="1:1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</row>
    <row r="154" spans="1:1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</row>
    <row r="155" spans="1:1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</row>
    <row r="156" spans="1:1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</row>
    <row r="157" spans="1:1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</row>
    <row r="158" spans="1:1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</row>
    <row r="159" spans="1:1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</row>
    <row r="160" spans="1:1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</row>
    <row r="161" spans="1:1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</row>
    <row r="162" spans="1:1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</row>
    <row r="163" spans="1:1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</row>
    <row r="164" spans="1:1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</row>
    <row r="165" spans="1:1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</row>
    <row r="166" spans="1:1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</row>
    <row r="167" spans="1:1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</row>
    <row r="168" spans="1:1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</row>
    <row r="169" spans="1:1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</row>
    <row r="170" spans="1:1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</row>
    <row r="171" spans="1:1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</row>
    <row r="172" spans="1:1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</row>
    <row r="173" spans="1:1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</row>
    <row r="174" spans="1:1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</row>
    <row r="175" spans="1:1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</row>
    <row r="176" spans="1:1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</row>
    <row r="177" spans="1:1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</row>
    <row r="178" spans="1:1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</row>
    <row r="179" spans="1:1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</row>
    <row r="180" spans="1:1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</row>
    <row r="181" spans="1:1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</row>
    <row r="182" spans="1:1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</row>
    <row r="183" spans="1:1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</row>
    <row r="184" spans="1:1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</row>
    <row r="185" spans="1:1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</row>
    <row r="186" spans="1:1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</row>
    <row r="187" spans="1:1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</row>
    <row r="188" spans="1:1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</row>
    <row r="189" spans="1:1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</row>
    <row r="190" spans="1:1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</row>
    <row r="191" spans="1:1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</row>
    <row r="192" spans="1:1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</row>
    <row r="193" spans="1:1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</row>
    <row r="194" spans="1:1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</row>
    <row r="195" spans="1:1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</row>
    <row r="196" spans="1:1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</row>
    <row r="197" spans="1:1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</row>
    <row r="198" spans="1:1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</row>
    <row r="199" spans="1:1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</row>
    <row r="200" spans="1:1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</row>
    <row r="201" spans="1:1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</row>
    <row r="202" spans="1:1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</row>
    <row r="203" spans="1:1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</row>
    <row r="204" spans="1:1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</row>
    <row r="205" spans="1:1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</row>
    <row r="206" spans="1:1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</row>
    <row r="207" spans="1:1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</row>
    <row r="208" spans="1:1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</row>
    <row r="209" spans="1:1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</row>
    <row r="210" spans="1:1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</row>
    <row r="211" spans="1:1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</row>
    <row r="212" spans="1:1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</row>
    <row r="213" spans="1:1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</row>
    <row r="214" spans="1:1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</row>
    <row r="215" spans="1:1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</row>
    <row r="216" spans="1:1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</row>
    <row r="217" spans="1:1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</row>
    <row r="218" spans="1:1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</row>
    <row r="219" spans="1:1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</row>
    <row r="220" spans="1:1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</row>
    <row r="221" spans="1:1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</row>
    <row r="222" spans="1:1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</row>
    <row r="223" spans="1:1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</row>
    <row r="224" spans="1:1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</row>
    <row r="225" spans="1:1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</row>
    <row r="226" spans="1:1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</row>
    <row r="227" spans="1:1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</row>
    <row r="228" spans="1:1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</row>
    <row r="229" spans="1:1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</row>
    <row r="230" spans="1:1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</row>
    <row r="231" spans="1:1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</row>
    <row r="232" spans="1:1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</row>
    <row r="233" spans="1:1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</row>
    <row r="234" spans="1:1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</row>
    <row r="235" spans="1:1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</row>
    <row r="236" spans="1:1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</row>
    <row r="237" spans="1:1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</row>
    <row r="238" spans="1:1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</row>
    <row r="239" spans="1:1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</row>
    <row r="240" spans="1:1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</row>
    <row r="241" spans="1:1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</row>
    <row r="242" spans="1:1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</row>
    <row r="243" spans="1:1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</row>
    <row r="244" spans="1:1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</row>
    <row r="245" spans="1:1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</row>
    <row r="246" spans="1:1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</row>
    <row r="247" spans="1:1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</row>
    <row r="248" spans="1:1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</row>
    <row r="249" spans="1:1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</row>
    <row r="250" spans="1:1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</row>
    <row r="251" spans="1:1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</row>
    <row r="252" spans="1:1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</row>
    <row r="253" spans="1:1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</row>
    <row r="254" spans="1:1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</row>
    <row r="255" spans="1:1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</row>
    <row r="256" spans="1:1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</row>
    <row r="257" spans="1:1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</row>
    <row r="258" spans="1:1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</row>
    <row r="259" spans="1:1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</row>
    <row r="260" spans="1:1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</row>
    <row r="261" spans="1:1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</row>
    <row r="262" spans="1:1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</row>
    <row r="263" spans="1:1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</row>
    <row r="264" spans="1:1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</row>
    <row r="265" spans="1:1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</row>
    <row r="266" spans="1:1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</row>
    <row r="267" spans="1:1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</row>
    <row r="268" spans="1:1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</row>
    <row r="269" spans="1:1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</row>
    <row r="270" spans="1:1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</row>
    <row r="271" spans="1:1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</row>
    <row r="272" spans="1:1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</row>
    <row r="273" spans="1:1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</row>
    <row r="274" spans="1:1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</row>
    <row r="275" spans="1:1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</row>
    <row r="276" spans="1:1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</row>
    <row r="277" spans="1:1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</row>
    <row r="278" spans="1:1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</row>
    <row r="279" spans="1:1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</row>
    <row r="280" spans="1:1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</row>
    <row r="281" spans="1:1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</row>
    <row r="282" spans="1:1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</row>
    <row r="283" spans="1:1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</row>
    <row r="284" spans="1:1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</row>
    <row r="285" spans="1:1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</row>
    <row r="286" spans="1:1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</row>
    <row r="287" spans="1:1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</row>
    <row r="288" spans="1:1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</row>
    <row r="289" spans="1:1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</row>
    <row r="290" spans="1:1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</row>
    <row r="291" spans="1:1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</row>
    <row r="292" spans="1:1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</row>
    <row r="293" spans="1:1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</row>
    <row r="294" spans="1:1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</row>
    <row r="295" spans="1:1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</row>
    <row r="296" spans="1:1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</row>
    <row r="297" spans="1:1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</row>
    <row r="298" spans="1:1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</row>
    <row r="299" spans="1:1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</row>
    <row r="300" spans="1:1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</row>
    <row r="301" spans="1:1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</row>
    <row r="302" spans="1:1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</row>
    <row r="303" spans="1:1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</row>
    <row r="304" spans="1:1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</row>
    <row r="305" spans="1:1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</row>
    <row r="306" spans="1:1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</row>
    <row r="307" spans="1:1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</row>
    <row r="308" spans="1:1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</row>
    <row r="309" spans="1:1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</row>
    <row r="310" spans="1:1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</row>
    <row r="311" spans="1:1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</row>
    <row r="312" spans="1:1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</row>
    <row r="313" spans="1:1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</row>
    <row r="314" spans="1:1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</row>
    <row r="315" spans="1:1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</row>
    <row r="316" spans="1:1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</row>
    <row r="317" spans="1:1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</row>
    <row r="318" spans="1:1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</row>
    <row r="319" spans="1:1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</row>
    <row r="320" spans="1:1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</row>
    <row r="321" spans="1:1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</row>
    <row r="322" spans="1:1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</row>
    <row r="323" spans="1:1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</row>
    <row r="324" spans="1:1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</row>
    <row r="325" spans="1:1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</row>
    <row r="326" spans="1:1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</row>
    <row r="327" spans="1:1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</row>
    <row r="328" spans="1:1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</row>
    <row r="329" spans="1:1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</row>
    <row r="330" spans="1:1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</row>
    <row r="331" spans="1:1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</row>
    <row r="332" spans="1:1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</row>
    <row r="333" spans="1:1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</row>
    <row r="334" spans="1:1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</row>
    <row r="335" spans="1:1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</row>
    <row r="336" spans="1:1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</row>
    <row r="337" spans="1:1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</row>
    <row r="338" spans="1:1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</row>
    <row r="339" spans="1:1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</row>
    <row r="340" spans="1:1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</row>
    <row r="341" spans="1:1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</row>
    <row r="342" spans="1:1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</row>
    <row r="343" spans="1:1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</row>
    <row r="344" spans="1:1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</row>
    <row r="345" spans="1:1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</row>
    <row r="346" spans="1:1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</row>
    <row r="347" spans="1:1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</row>
    <row r="348" spans="1:1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</row>
    <row r="349" spans="1:1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</row>
    <row r="350" spans="1:1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</row>
    <row r="351" spans="1:1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</row>
    <row r="352" spans="1:1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</row>
    <row r="353" spans="1:1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</row>
    <row r="354" spans="1:1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</row>
    <row r="355" spans="1:1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</row>
    <row r="356" spans="1:1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</row>
    <row r="357" spans="1:1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</row>
    <row r="358" spans="1:1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</row>
    <row r="359" spans="1:1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</row>
    <row r="360" spans="1:1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</row>
    <row r="361" spans="1:1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</row>
    <row r="362" spans="1:1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</row>
    <row r="363" spans="1:1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</row>
    <row r="364" spans="1:1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</row>
    <row r="365" spans="1:1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</row>
    <row r="366" spans="1:1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</row>
    <row r="367" spans="1:1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</row>
    <row r="368" spans="1:1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</row>
    <row r="369" spans="1:1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</row>
    <row r="370" spans="1:1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</row>
    <row r="371" spans="1:1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</row>
    <row r="372" spans="1:1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</row>
    <row r="373" spans="1:1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</row>
    <row r="374" spans="1:1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</row>
    <row r="375" spans="1:1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</row>
    <row r="376" spans="1:1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</row>
    <row r="377" spans="1:1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</row>
    <row r="378" spans="1:1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</row>
    <row r="379" spans="1:1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</row>
    <row r="380" spans="1:1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</row>
    <row r="381" spans="1:1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</row>
    <row r="382" spans="1:1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</row>
    <row r="383" spans="1:1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</row>
    <row r="384" spans="1:1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</row>
    <row r="385" spans="1:1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</row>
    <row r="386" spans="1:1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</row>
    <row r="387" spans="1:1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</row>
    <row r="388" spans="1:1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</row>
    <row r="389" spans="1:1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</row>
    <row r="390" spans="1:1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</row>
    <row r="391" spans="1:1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</row>
    <row r="392" spans="1:1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</row>
    <row r="393" spans="1:1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</row>
    <row r="394" spans="1:1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</row>
    <row r="395" spans="1:1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</row>
    <row r="396" spans="1:1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</row>
    <row r="397" spans="1:1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</row>
    <row r="398" spans="1:1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</row>
    <row r="399" spans="1:1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</row>
    <row r="400" spans="1:1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</row>
    <row r="401" spans="1:1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BBC1-CABD-4C87-A57C-06E9EF1CD7DC}">
  <sheetPr codeName="Sheet3"/>
  <dimension ref="A1:K401"/>
  <sheetViews>
    <sheetView workbookViewId="0">
      <pane ySplit="1" topLeftCell="A2" activePane="bottomLeft" state="frozen"/>
      <selection pane="bottomLeft" sqref="A1:K40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</row>
    <row r="3" spans="1:1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</row>
    <row r="4" spans="1:1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</row>
    <row r="5" spans="1:1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</row>
    <row r="6" spans="1:1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</row>
    <row r="7" spans="1:1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</row>
    <row r="8" spans="1:1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</row>
    <row r="9" spans="1:1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</row>
    <row r="10" spans="1:11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</row>
    <row r="11" spans="1:1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</row>
    <row r="12" spans="1:1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</row>
    <row r="13" spans="1:11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</row>
    <row r="14" spans="1:1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</row>
    <row r="15" spans="1:11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</row>
    <row r="16" spans="1:1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</row>
    <row r="17" spans="1:1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</row>
    <row r="18" spans="1:1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</row>
    <row r="19" spans="1:1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</row>
    <row r="20" spans="1:1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</row>
    <row r="21" spans="1:1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</row>
    <row r="22" spans="1:1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</row>
    <row r="23" spans="1:1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</row>
    <row r="24" spans="1:1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</row>
    <row r="25" spans="1:1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</row>
    <row r="26" spans="1:1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</row>
    <row r="27" spans="1:1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</row>
    <row r="28" spans="1:1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</row>
    <row r="29" spans="1:1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</row>
    <row r="30" spans="1:1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</row>
    <row r="31" spans="1:1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</row>
    <row r="32" spans="1:1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</row>
    <row r="33" spans="1:1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</row>
    <row r="34" spans="1:1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</row>
    <row r="35" spans="1:1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</row>
    <row r="36" spans="1:1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</row>
    <row r="37" spans="1:1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</row>
    <row r="38" spans="1:1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</row>
    <row r="39" spans="1:1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</row>
    <row r="40" spans="1:1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</row>
    <row r="41" spans="1:1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</row>
    <row r="42" spans="1:1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</row>
    <row r="43" spans="1:1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</row>
    <row r="44" spans="1:1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</row>
    <row r="45" spans="1:1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</row>
    <row r="46" spans="1:1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</row>
    <row r="47" spans="1:1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</row>
    <row r="48" spans="1:1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</row>
    <row r="49" spans="1:1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</row>
    <row r="50" spans="1:1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</row>
    <row r="51" spans="1:1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</row>
    <row r="52" spans="1:1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</row>
    <row r="53" spans="1:1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</row>
    <row r="54" spans="1:1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</row>
    <row r="55" spans="1:1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</row>
    <row r="56" spans="1:1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</row>
    <row r="57" spans="1:1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</row>
    <row r="58" spans="1:1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</row>
    <row r="59" spans="1:1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</row>
    <row r="60" spans="1:1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</row>
    <row r="61" spans="1:1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</row>
    <row r="62" spans="1:1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</row>
    <row r="63" spans="1:1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</row>
    <row r="64" spans="1:1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</row>
    <row r="65" spans="1:1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</row>
    <row r="66" spans="1:1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</row>
    <row r="67" spans="1:1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</row>
    <row r="68" spans="1:1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</row>
    <row r="69" spans="1:1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</row>
    <row r="70" spans="1:1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</row>
    <row r="71" spans="1:1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</row>
    <row r="72" spans="1:1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</row>
    <row r="73" spans="1:1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</row>
    <row r="74" spans="1:1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</row>
    <row r="75" spans="1:1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</row>
    <row r="76" spans="1:1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</row>
    <row r="77" spans="1:1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</row>
    <row r="78" spans="1:1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</row>
    <row r="79" spans="1:1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</row>
    <row r="80" spans="1:1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</row>
    <row r="81" spans="1:1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</row>
    <row r="82" spans="1:1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</row>
    <row r="83" spans="1:1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</row>
    <row r="84" spans="1:1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</row>
    <row r="85" spans="1:1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</row>
    <row r="86" spans="1:1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</row>
    <row r="87" spans="1:1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</row>
    <row r="88" spans="1:1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</row>
    <row r="89" spans="1:1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</row>
    <row r="90" spans="1:1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</row>
    <row r="91" spans="1:1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</row>
    <row r="92" spans="1:1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</row>
    <row r="93" spans="1:1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</row>
    <row r="94" spans="1:1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</row>
    <row r="95" spans="1:1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</row>
    <row r="96" spans="1:1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</row>
    <row r="97" spans="1:1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</row>
    <row r="98" spans="1:1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</row>
    <row r="99" spans="1:1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</row>
    <row r="100" spans="1:1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</row>
    <row r="101" spans="1:1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</row>
    <row r="102" spans="1:1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</row>
    <row r="103" spans="1:1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</row>
    <row r="104" spans="1:1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</row>
    <row r="105" spans="1:1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</row>
    <row r="106" spans="1:1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</row>
    <row r="107" spans="1:1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</row>
    <row r="108" spans="1:1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</row>
    <row r="109" spans="1:1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</row>
    <row r="110" spans="1:1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</row>
    <row r="111" spans="1:1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</row>
    <row r="112" spans="1:1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</row>
    <row r="113" spans="1:1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</row>
    <row r="114" spans="1:1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</row>
    <row r="115" spans="1:1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</row>
    <row r="116" spans="1:1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</row>
    <row r="117" spans="1:1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</row>
    <row r="118" spans="1:1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</row>
    <row r="119" spans="1:1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</row>
    <row r="120" spans="1:1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</row>
    <row r="121" spans="1:1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</row>
    <row r="122" spans="1:1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</row>
    <row r="123" spans="1:1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</row>
    <row r="124" spans="1:1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</row>
    <row r="125" spans="1:1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</row>
    <row r="126" spans="1:1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</row>
    <row r="127" spans="1:1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</row>
    <row r="128" spans="1:1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</row>
    <row r="129" spans="1:1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</row>
    <row r="130" spans="1:1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</row>
    <row r="131" spans="1:1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</row>
    <row r="132" spans="1:1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</row>
    <row r="133" spans="1:1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</row>
    <row r="134" spans="1:1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</row>
    <row r="135" spans="1:1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</row>
    <row r="136" spans="1:1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</row>
    <row r="137" spans="1:1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</row>
    <row r="138" spans="1:1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</row>
    <row r="139" spans="1:1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</row>
    <row r="140" spans="1:1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</row>
    <row r="141" spans="1:1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</row>
    <row r="142" spans="1:1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</row>
    <row r="143" spans="1:1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</row>
    <row r="144" spans="1:1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</row>
    <row r="145" spans="1:1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</row>
    <row r="146" spans="1:1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</row>
    <row r="147" spans="1:1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</row>
    <row r="148" spans="1:1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</row>
    <row r="149" spans="1:1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</row>
    <row r="150" spans="1:1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</row>
    <row r="151" spans="1:1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</row>
    <row r="152" spans="1:1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</row>
    <row r="153" spans="1:1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</row>
    <row r="154" spans="1:1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</row>
    <row r="155" spans="1:1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</row>
    <row r="156" spans="1:1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</row>
    <row r="157" spans="1:1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</row>
    <row r="158" spans="1:1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</row>
    <row r="159" spans="1:1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</row>
    <row r="160" spans="1:1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</row>
    <row r="161" spans="1:1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</row>
    <row r="162" spans="1:1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</row>
    <row r="163" spans="1:1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</row>
    <row r="164" spans="1:1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</row>
    <row r="165" spans="1:1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</row>
    <row r="166" spans="1:1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</row>
    <row r="167" spans="1:1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</row>
    <row r="168" spans="1:1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</row>
    <row r="169" spans="1:1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</row>
    <row r="170" spans="1:1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</row>
    <row r="171" spans="1:1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</row>
    <row r="172" spans="1:1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</row>
    <row r="173" spans="1:1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</row>
    <row r="174" spans="1:1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</row>
    <row r="175" spans="1:1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</row>
    <row r="176" spans="1:1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</row>
    <row r="177" spans="1:1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</row>
    <row r="178" spans="1:1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</row>
    <row r="179" spans="1:1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</row>
    <row r="180" spans="1:1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</row>
    <row r="181" spans="1:1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</row>
    <row r="182" spans="1:1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</row>
    <row r="183" spans="1:1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</row>
    <row r="184" spans="1:1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</row>
    <row r="185" spans="1:1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</row>
    <row r="186" spans="1:1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</row>
    <row r="187" spans="1:1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</row>
    <row r="188" spans="1:1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</row>
    <row r="189" spans="1:1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</row>
    <row r="190" spans="1:1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</row>
    <row r="191" spans="1:1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</row>
    <row r="192" spans="1:1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</row>
    <row r="193" spans="1:1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</row>
    <row r="194" spans="1:1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</row>
    <row r="195" spans="1:1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</row>
    <row r="196" spans="1:1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</row>
    <row r="197" spans="1:1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</row>
    <row r="198" spans="1:1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</row>
    <row r="199" spans="1:1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</row>
    <row r="200" spans="1:1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</row>
    <row r="201" spans="1:1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</row>
    <row r="202" spans="1:1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</row>
    <row r="203" spans="1:1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</row>
    <row r="204" spans="1:1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</row>
    <row r="205" spans="1:1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</row>
    <row r="206" spans="1:1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</row>
    <row r="207" spans="1:1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</row>
    <row r="208" spans="1:1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</row>
    <row r="209" spans="1:1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</row>
    <row r="210" spans="1:1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</row>
    <row r="211" spans="1:1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</row>
    <row r="212" spans="1:1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</row>
    <row r="213" spans="1:1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</row>
    <row r="214" spans="1:1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</row>
    <row r="215" spans="1:1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</row>
    <row r="216" spans="1:1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</row>
    <row r="217" spans="1:1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</row>
    <row r="218" spans="1:1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</row>
    <row r="219" spans="1:1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</row>
    <row r="220" spans="1:1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</row>
    <row r="221" spans="1:1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</row>
    <row r="222" spans="1:1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</row>
    <row r="223" spans="1:1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</row>
    <row r="224" spans="1:1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</row>
    <row r="225" spans="1:1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</row>
    <row r="226" spans="1:1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</row>
    <row r="227" spans="1:1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</row>
    <row r="228" spans="1:1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</row>
    <row r="229" spans="1:1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</row>
    <row r="230" spans="1:1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</row>
    <row r="231" spans="1:1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</row>
    <row r="232" spans="1:1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</row>
    <row r="233" spans="1:1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</row>
    <row r="234" spans="1:1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</row>
    <row r="235" spans="1:1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</row>
    <row r="236" spans="1:1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</row>
    <row r="237" spans="1:1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</row>
    <row r="238" spans="1:1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</row>
    <row r="239" spans="1:1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</row>
    <row r="240" spans="1:1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</row>
    <row r="241" spans="1:1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</row>
    <row r="242" spans="1:1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</row>
    <row r="243" spans="1:1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</row>
    <row r="244" spans="1:1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</row>
    <row r="245" spans="1:1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</row>
    <row r="246" spans="1:1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</row>
    <row r="247" spans="1:1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</row>
    <row r="248" spans="1:1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</row>
    <row r="249" spans="1:1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</row>
    <row r="250" spans="1:1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</row>
    <row r="251" spans="1:1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</row>
    <row r="252" spans="1:1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</row>
    <row r="253" spans="1:1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</row>
    <row r="254" spans="1:1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</row>
    <row r="255" spans="1:1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</row>
    <row r="256" spans="1:1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</row>
    <row r="257" spans="1:1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</row>
    <row r="258" spans="1:1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</row>
    <row r="259" spans="1:1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</row>
    <row r="260" spans="1:1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</row>
    <row r="261" spans="1:1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</row>
    <row r="262" spans="1:1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</row>
    <row r="263" spans="1:1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</row>
    <row r="264" spans="1:1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</row>
    <row r="265" spans="1:1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</row>
    <row r="266" spans="1:1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</row>
    <row r="267" spans="1:1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</row>
    <row r="268" spans="1:1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</row>
    <row r="269" spans="1:1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</row>
    <row r="270" spans="1:1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</row>
    <row r="271" spans="1:1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</row>
    <row r="272" spans="1:1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</row>
    <row r="273" spans="1:1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</row>
    <row r="274" spans="1:1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</row>
    <row r="275" spans="1:1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</row>
    <row r="276" spans="1:1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</row>
    <row r="277" spans="1:1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</row>
    <row r="278" spans="1:1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</row>
    <row r="279" spans="1:1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</row>
    <row r="280" spans="1:1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</row>
    <row r="281" spans="1:1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</row>
    <row r="282" spans="1:1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</row>
    <row r="283" spans="1:1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</row>
    <row r="284" spans="1:1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</row>
    <row r="285" spans="1:1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</row>
    <row r="286" spans="1:1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</row>
    <row r="287" spans="1:1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</row>
    <row r="288" spans="1:1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</row>
    <row r="289" spans="1:1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</row>
    <row r="290" spans="1:1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</row>
    <row r="291" spans="1:1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</row>
    <row r="292" spans="1:1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</row>
    <row r="293" spans="1:1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</row>
    <row r="294" spans="1:1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</row>
    <row r="295" spans="1:1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</row>
    <row r="296" spans="1:1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</row>
    <row r="297" spans="1:1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</row>
    <row r="298" spans="1:1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</row>
    <row r="299" spans="1:1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</row>
    <row r="300" spans="1:1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</row>
    <row r="301" spans="1:1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</row>
    <row r="302" spans="1:1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</row>
    <row r="303" spans="1:1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</row>
    <row r="304" spans="1:1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</row>
    <row r="305" spans="1:1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</row>
    <row r="306" spans="1:1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</row>
    <row r="307" spans="1:1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</row>
    <row r="308" spans="1:1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</row>
    <row r="309" spans="1:1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</row>
    <row r="310" spans="1:1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</row>
    <row r="311" spans="1:1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</row>
    <row r="312" spans="1:1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</row>
    <row r="313" spans="1:1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</row>
    <row r="314" spans="1:1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</row>
    <row r="315" spans="1:1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</row>
    <row r="316" spans="1:1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</row>
    <row r="317" spans="1:1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</row>
    <row r="318" spans="1:1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</row>
    <row r="319" spans="1:1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</row>
    <row r="320" spans="1:1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</row>
    <row r="321" spans="1:1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</row>
    <row r="322" spans="1:1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</row>
    <row r="323" spans="1:1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</row>
    <row r="324" spans="1:1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</row>
    <row r="325" spans="1:1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</row>
    <row r="326" spans="1:1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</row>
    <row r="327" spans="1:1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</row>
    <row r="328" spans="1:1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</row>
    <row r="329" spans="1:1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</row>
    <row r="330" spans="1:1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</row>
    <row r="331" spans="1:1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</row>
    <row r="332" spans="1:1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</row>
    <row r="333" spans="1:1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</row>
    <row r="334" spans="1:1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</row>
    <row r="335" spans="1:1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</row>
    <row r="336" spans="1:1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</row>
    <row r="337" spans="1:1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</row>
    <row r="338" spans="1:1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</row>
    <row r="339" spans="1:1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</row>
    <row r="340" spans="1:1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</row>
    <row r="341" spans="1:1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</row>
    <row r="342" spans="1:1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</row>
    <row r="343" spans="1:1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</row>
    <row r="344" spans="1:1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</row>
    <row r="345" spans="1:1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</row>
    <row r="346" spans="1:1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</row>
    <row r="347" spans="1:1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</row>
    <row r="348" spans="1:1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</row>
    <row r="349" spans="1:1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</row>
    <row r="350" spans="1:1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</row>
    <row r="351" spans="1:1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</row>
    <row r="352" spans="1:1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</row>
    <row r="353" spans="1:1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</row>
    <row r="354" spans="1:1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</row>
    <row r="355" spans="1:1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</row>
    <row r="356" spans="1:1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</row>
    <row r="357" spans="1:1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</row>
    <row r="358" spans="1:1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</row>
    <row r="359" spans="1:1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</row>
    <row r="360" spans="1:1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</row>
    <row r="361" spans="1:1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</row>
    <row r="362" spans="1:1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</row>
    <row r="363" spans="1:1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</row>
    <row r="364" spans="1:1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</row>
    <row r="365" spans="1:1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</row>
    <row r="366" spans="1:1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</row>
    <row r="367" spans="1:1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</row>
    <row r="368" spans="1:1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</row>
    <row r="369" spans="1:1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</row>
    <row r="370" spans="1:1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</row>
    <row r="371" spans="1:1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</row>
    <row r="372" spans="1:1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</row>
    <row r="373" spans="1:1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</row>
    <row r="374" spans="1:1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</row>
    <row r="375" spans="1:1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</row>
    <row r="376" spans="1:1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</row>
    <row r="377" spans="1:1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</row>
    <row r="378" spans="1:1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</row>
    <row r="379" spans="1:1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</row>
    <row r="380" spans="1:1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</row>
    <row r="381" spans="1:1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</row>
    <row r="382" spans="1:1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</row>
    <row r="383" spans="1:1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</row>
    <row r="384" spans="1:1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</row>
    <row r="385" spans="1:1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</row>
    <row r="386" spans="1:1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</row>
    <row r="387" spans="1:1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</row>
    <row r="388" spans="1:1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</row>
    <row r="389" spans="1:1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</row>
    <row r="390" spans="1:1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</row>
    <row r="391" spans="1:1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</row>
    <row r="392" spans="1:1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</row>
    <row r="393" spans="1:1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</row>
    <row r="394" spans="1:1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</row>
    <row r="395" spans="1:1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</row>
    <row r="396" spans="1:1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</row>
    <row r="397" spans="1:1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</row>
    <row r="398" spans="1:1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</row>
    <row r="399" spans="1:1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</row>
    <row r="400" spans="1:1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</row>
    <row r="401" spans="1:1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2FA1-1E7E-4EF7-85DB-F07EC66C554B}">
  <sheetPr codeName="Sheet4"/>
  <dimension ref="A1:K401"/>
  <sheetViews>
    <sheetView workbookViewId="0">
      <selection activeCell="G1" sqref="G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1019</v>
      </c>
      <c r="B2" t="s">
        <v>11</v>
      </c>
      <c r="C2" t="s">
        <v>43</v>
      </c>
      <c r="D2" t="s">
        <v>34</v>
      </c>
      <c r="E2" t="s">
        <v>41</v>
      </c>
      <c r="F2">
        <v>18</v>
      </c>
      <c r="G2">
        <v>45652</v>
      </c>
      <c r="H2">
        <v>10</v>
      </c>
      <c r="I2" s="1">
        <v>46023</v>
      </c>
      <c r="J2" s="1">
        <v>46030</v>
      </c>
      <c r="K2" t="s">
        <v>20</v>
      </c>
    </row>
    <row r="3" spans="1:11" x14ac:dyDescent="0.3">
      <c r="A3">
        <v>1355</v>
      </c>
      <c r="B3" t="s">
        <v>27</v>
      </c>
      <c r="C3" t="s">
        <v>12</v>
      </c>
      <c r="D3" t="s">
        <v>34</v>
      </c>
      <c r="E3" t="s">
        <v>60</v>
      </c>
      <c r="F3">
        <v>18</v>
      </c>
      <c r="G3">
        <v>35997</v>
      </c>
      <c r="H3">
        <v>2</v>
      </c>
      <c r="I3" s="1">
        <v>46024</v>
      </c>
      <c r="J3" s="1">
        <v>46031</v>
      </c>
      <c r="K3" t="s">
        <v>51</v>
      </c>
    </row>
    <row r="4" spans="1:11" x14ac:dyDescent="0.3">
      <c r="A4">
        <v>1060</v>
      </c>
      <c r="B4" t="s">
        <v>49</v>
      </c>
      <c r="C4" t="s">
        <v>12</v>
      </c>
      <c r="D4" t="s">
        <v>18</v>
      </c>
      <c r="E4" t="s">
        <v>44</v>
      </c>
      <c r="F4">
        <v>9</v>
      </c>
      <c r="G4">
        <v>9727</v>
      </c>
      <c r="H4">
        <v>2</v>
      </c>
      <c r="I4" s="1">
        <v>46024</v>
      </c>
      <c r="J4" s="1">
        <v>46030</v>
      </c>
      <c r="K4" t="s">
        <v>20</v>
      </c>
    </row>
    <row r="5" spans="1:11" x14ac:dyDescent="0.3">
      <c r="A5">
        <v>1151</v>
      </c>
      <c r="B5" t="s">
        <v>46</v>
      </c>
      <c r="C5" t="s">
        <v>43</v>
      </c>
      <c r="D5" t="s">
        <v>13</v>
      </c>
      <c r="E5" t="s">
        <v>50</v>
      </c>
      <c r="F5">
        <v>20</v>
      </c>
      <c r="G5">
        <v>272</v>
      </c>
      <c r="H5">
        <v>15</v>
      </c>
      <c r="I5" s="1">
        <v>46024</v>
      </c>
      <c r="J5" s="1">
        <v>46029</v>
      </c>
      <c r="K5" t="s">
        <v>51</v>
      </c>
    </row>
    <row r="6" spans="1:11" x14ac:dyDescent="0.3">
      <c r="A6">
        <v>1132</v>
      </c>
      <c r="B6" t="s">
        <v>11</v>
      </c>
      <c r="C6" t="s">
        <v>31</v>
      </c>
      <c r="D6" t="s">
        <v>13</v>
      </c>
      <c r="E6" t="s">
        <v>50</v>
      </c>
      <c r="F6">
        <v>10</v>
      </c>
      <c r="G6">
        <v>270</v>
      </c>
      <c r="H6">
        <v>7</v>
      </c>
      <c r="I6" s="1">
        <v>46024</v>
      </c>
      <c r="J6" s="1">
        <v>46034</v>
      </c>
      <c r="K6" t="s">
        <v>24</v>
      </c>
    </row>
    <row r="7" spans="1:11" x14ac:dyDescent="0.3">
      <c r="A7">
        <v>1352</v>
      </c>
      <c r="B7" t="s">
        <v>54</v>
      </c>
      <c r="C7" t="s">
        <v>22</v>
      </c>
      <c r="D7" t="s">
        <v>13</v>
      </c>
      <c r="E7" t="s">
        <v>14</v>
      </c>
      <c r="F7">
        <v>12</v>
      </c>
      <c r="G7">
        <v>203</v>
      </c>
      <c r="H7">
        <v>5</v>
      </c>
      <c r="I7" s="1">
        <v>46024</v>
      </c>
      <c r="J7" s="1">
        <v>46033</v>
      </c>
      <c r="K7" t="s">
        <v>15</v>
      </c>
    </row>
    <row r="8" spans="1:11" x14ac:dyDescent="0.3">
      <c r="A8">
        <v>1156</v>
      </c>
      <c r="B8" t="s">
        <v>54</v>
      </c>
      <c r="C8" t="s">
        <v>38</v>
      </c>
      <c r="D8" t="s">
        <v>13</v>
      </c>
      <c r="E8" t="s">
        <v>36</v>
      </c>
      <c r="F8">
        <v>5</v>
      </c>
      <c r="G8">
        <v>466</v>
      </c>
      <c r="H8">
        <v>15</v>
      </c>
      <c r="I8" s="1">
        <v>46025</v>
      </c>
      <c r="J8" s="1">
        <v>46029</v>
      </c>
      <c r="K8" t="s">
        <v>15</v>
      </c>
    </row>
    <row r="9" spans="1:11" x14ac:dyDescent="0.3">
      <c r="A9">
        <v>1341</v>
      </c>
      <c r="B9" t="s">
        <v>57</v>
      </c>
      <c r="C9" t="s">
        <v>38</v>
      </c>
      <c r="D9" t="s">
        <v>18</v>
      </c>
      <c r="E9" t="s">
        <v>19</v>
      </c>
      <c r="F9">
        <v>19</v>
      </c>
      <c r="G9">
        <v>6488</v>
      </c>
      <c r="H9">
        <v>15</v>
      </c>
      <c r="I9" s="1">
        <v>46026</v>
      </c>
      <c r="J9" s="1">
        <v>46030</v>
      </c>
      <c r="K9" t="s">
        <v>20</v>
      </c>
    </row>
    <row r="10" spans="1:11" x14ac:dyDescent="0.3">
      <c r="A10">
        <v>1351</v>
      </c>
      <c r="B10" t="s">
        <v>42</v>
      </c>
      <c r="C10" t="s">
        <v>33</v>
      </c>
      <c r="D10" t="s">
        <v>34</v>
      </c>
      <c r="E10" t="s">
        <v>45</v>
      </c>
      <c r="F10">
        <v>12</v>
      </c>
      <c r="G10">
        <v>1272</v>
      </c>
      <c r="H10">
        <v>0</v>
      </c>
      <c r="I10" s="1">
        <v>46026</v>
      </c>
      <c r="J10" s="1">
        <v>46029</v>
      </c>
      <c r="K10" t="s">
        <v>15</v>
      </c>
    </row>
    <row r="11" spans="1:11" x14ac:dyDescent="0.3">
      <c r="A11">
        <v>1229</v>
      </c>
      <c r="B11" t="s">
        <v>57</v>
      </c>
      <c r="C11" t="s">
        <v>12</v>
      </c>
      <c r="D11" t="s">
        <v>18</v>
      </c>
      <c r="E11" t="s">
        <v>56</v>
      </c>
      <c r="F11">
        <v>14</v>
      </c>
      <c r="G11">
        <v>5859</v>
      </c>
      <c r="H11">
        <v>12</v>
      </c>
      <c r="I11" s="1">
        <v>46027</v>
      </c>
      <c r="J11" s="1">
        <v>46036</v>
      </c>
      <c r="K11" t="s">
        <v>20</v>
      </c>
    </row>
    <row r="12" spans="1:11" x14ac:dyDescent="0.3">
      <c r="A12">
        <v>1100</v>
      </c>
      <c r="B12" t="s">
        <v>11</v>
      </c>
      <c r="C12" t="s">
        <v>31</v>
      </c>
      <c r="D12" t="s">
        <v>13</v>
      </c>
      <c r="E12" t="s">
        <v>14</v>
      </c>
      <c r="F12">
        <v>11</v>
      </c>
      <c r="G12">
        <v>296</v>
      </c>
      <c r="H12">
        <v>10</v>
      </c>
      <c r="I12" s="1">
        <v>46027</v>
      </c>
      <c r="J12" s="1">
        <v>46031</v>
      </c>
      <c r="K12" t="s">
        <v>51</v>
      </c>
    </row>
    <row r="13" spans="1:11" x14ac:dyDescent="0.3">
      <c r="A13">
        <v>1301</v>
      </c>
      <c r="B13" t="s">
        <v>54</v>
      </c>
      <c r="C13" t="s">
        <v>17</v>
      </c>
      <c r="D13" t="s">
        <v>18</v>
      </c>
      <c r="E13" t="s">
        <v>28</v>
      </c>
      <c r="F13">
        <v>3</v>
      </c>
      <c r="G13">
        <v>7020</v>
      </c>
      <c r="H13">
        <v>10</v>
      </c>
      <c r="I13" s="1">
        <v>46028</v>
      </c>
      <c r="J13" s="1">
        <v>46038</v>
      </c>
      <c r="K13" t="s">
        <v>24</v>
      </c>
    </row>
    <row r="14" spans="1:11" x14ac:dyDescent="0.3">
      <c r="A14">
        <v>1148</v>
      </c>
      <c r="B14" t="s">
        <v>59</v>
      </c>
      <c r="C14" t="s">
        <v>33</v>
      </c>
      <c r="D14" t="s">
        <v>18</v>
      </c>
      <c r="E14" t="s">
        <v>28</v>
      </c>
      <c r="F14">
        <v>11</v>
      </c>
      <c r="G14">
        <v>3023</v>
      </c>
      <c r="H14">
        <v>7</v>
      </c>
      <c r="I14" s="1">
        <v>46030</v>
      </c>
      <c r="J14" s="1">
        <v>46032</v>
      </c>
      <c r="K14" t="s">
        <v>24</v>
      </c>
    </row>
    <row r="15" spans="1:11" x14ac:dyDescent="0.3">
      <c r="A15">
        <v>1038</v>
      </c>
      <c r="B15" t="s">
        <v>55</v>
      </c>
      <c r="C15" t="s">
        <v>17</v>
      </c>
      <c r="D15" t="s">
        <v>13</v>
      </c>
      <c r="E15" t="s">
        <v>36</v>
      </c>
      <c r="F15">
        <v>17</v>
      </c>
      <c r="G15">
        <v>223</v>
      </c>
      <c r="H15">
        <v>7</v>
      </c>
      <c r="I15" s="1">
        <v>46030</v>
      </c>
      <c r="J15" s="1">
        <v>46031</v>
      </c>
      <c r="K15" t="s">
        <v>51</v>
      </c>
    </row>
    <row r="16" spans="1:11" x14ac:dyDescent="0.3">
      <c r="A16">
        <v>1035</v>
      </c>
      <c r="B16" t="s">
        <v>49</v>
      </c>
      <c r="C16" t="s">
        <v>43</v>
      </c>
      <c r="D16" t="s">
        <v>18</v>
      </c>
      <c r="E16" t="s">
        <v>56</v>
      </c>
      <c r="F16">
        <v>3</v>
      </c>
      <c r="G16">
        <v>9149</v>
      </c>
      <c r="H16">
        <v>0</v>
      </c>
      <c r="I16" s="1">
        <v>46031</v>
      </c>
      <c r="J16" s="1">
        <v>46034</v>
      </c>
      <c r="K16" t="s">
        <v>24</v>
      </c>
    </row>
    <row r="17" spans="1:11" x14ac:dyDescent="0.3">
      <c r="A17">
        <v>1364</v>
      </c>
      <c r="B17" t="s">
        <v>30</v>
      </c>
      <c r="C17" t="s">
        <v>22</v>
      </c>
      <c r="D17" t="s">
        <v>18</v>
      </c>
      <c r="E17" t="s">
        <v>56</v>
      </c>
      <c r="F17">
        <v>16</v>
      </c>
      <c r="G17">
        <v>1744</v>
      </c>
      <c r="H17">
        <v>15</v>
      </c>
      <c r="I17" s="1">
        <v>46031</v>
      </c>
      <c r="J17" s="1">
        <v>46033</v>
      </c>
      <c r="K17" t="s">
        <v>51</v>
      </c>
    </row>
    <row r="18" spans="1:11" x14ac:dyDescent="0.3">
      <c r="A18">
        <v>1396</v>
      </c>
      <c r="B18" t="s">
        <v>21</v>
      </c>
      <c r="C18" t="s">
        <v>38</v>
      </c>
      <c r="D18" t="s">
        <v>13</v>
      </c>
      <c r="E18" t="s">
        <v>53</v>
      </c>
      <c r="F18">
        <v>8</v>
      </c>
      <c r="G18">
        <v>54</v>
      </c>
      <c r="H18">
        <v>15</v>
      </c>
      <c r="I18" s="1">
        <v>46031</v>
      </c>
      <c r="J18" s="1">
        <v>46035</v>
      </c>
      <c r="K18" t="s">
        <v>15</v>
      </c>
    </row>
    <row r="19" spans="1:11" x14ac:dyDescent="0.3">
      <c r="A19">
        <v>1330</v>
      </c>
      <c r="B19" t="s">
        <v>49</v>
      </c>
      <c r="C19" t="s">
        <v>17</v>
      </c>
      <c r="D19" t="s">
        <v>18</v>
      </c>
      <c r="E19" t="s">
        <v>19</v>
      </c>
      <c r="F19">
        <v>13</v>
      </c>
      <c r="G19">
        <v>12071</v>
      </c>
      <c r="H19">
        <v>0</v>
      </c>
      <c r="I19" s="1">
        <v>46032</v>
      </c>
      <c r="J19" s="1">
        <v>46036</v>
      </c>
      <c r="K19" t="s">
        <v>51</v>
      </c>
    </row>
    <row r="20" spans="1:11" x14ac:dyDescent="0.3">
      <c r="A20">
        <v>1037</v>
      </c>
      <c r="B20" t="s">
        <v>46</v>
      </c>
      <c r="C20" t="s">
        <v>43</v>
      </c>
      <c r="D20" t="s">
        <v>18</v>
      </c>
      <c r="E20" t="s">
        <v>56</v>
      </c>
      <c r="F20">
        <v>6</v>
      </c>
      <c r="G20">
        <v>14385</v>
      </c>
      <c r="H20">
        <v>12</v>
      </c>
      <c r="I20" s="1">
        <v>46033</v>
      </c>
      <c r="J20" s="1">
        <v>46043</v>
      </c>
      <c r="K20" t="s">
        <v>24</v>
      </c>
    </row>
    <row r="21" spans="1:11" x14ac:dyDescent="0.3">
      <c r="A21">
        <v>1109</v>
      </c>
      <c r="B21" t="s">
        <v>21</v>
      </c>
      <c r="C21" t="s">
        <v>31</v>
      </c>
      <c r="D21" t="s">
        <v>18</v>
      </c>
      <c r="E21" t="s">
        <v>44</v>
      </c>
      <c r="F21">
        <v>19</v>
      </c>
      <c r="G21">
        <v>6512</v>
      </c>
      <c r="H21">
        <v>10</v>
      </c>
      <c r="I21" s="1">
        <v>46033</v>
      </c>
      <c r="J21" s="1">
        <v>46037</v>
      </c>
      <c r="K21" t="s">
        <v>20</v>
      </c>
    </row>
    <row r="22" spans="1:11" x14ac:dyDescent="0.3">
      <c r="A22">
        <v>1008</v>
      </c>
      <c r="B22" t="s">
        <v>30</v>
      </c>
      <c r="C22" t="s">
        <v>31</v>
      </c>
      <c r="D22" t="s">
        <v>18</v>
      </c>
      <c r="E22" t="s">
        <v>28</v>
      </c>
      <c r="F22">
        <v>1</v>
      </c>
      <c r="G22">
        <v>1134</v>
      </c>
      <c r="H22">
        <v>0</v>
      </c>
      <c r="I22" s="1">
        <v>46033</v>
      </c>
      <c r="J22" s="1">
        <v>46041</v>
      </c>
      <c r="K22" t="s">
        <v>24</v>
      </c>
    </row>
    <row r="23" spans="1:11" x14ac:dyDescent="0.3">
      <c r="A23">
        <v>1181</v>
      </c>
      <c r="B23" t="s">
        <v>58</v>
      </c>
      <c r="C23" t="s">
        <v>33</v>
      </c>
      <c r="D23" t="s">
        <v>13</v>
      </c>
      <c r="E23" t="s">
        <v>36</v>
      </c>
      <c r="F23">
        <v>4</v>
      </c>
      <c r="G23">
        <v>357</v>
      </c>
      <c r="H23">
        <v>2</v>
      </c>
      <c r="I23" s="1">
        <v>46033</v>
      </c>
      <c r="J23" s="1">
        <v>46035</v>
      </c>
      <c r="K23" t="s">
        <v>15</v>
      </c>
    </row>
    <row r="24" spans="1:11" x14ac:dyDescent="0.3">
      <c r="A24">
        <v>1205</v>
      </c>
      <c r="B24" t="s">
        <v>21</v>
      </c>
      <c r="C24" t="s">
        <v>38</v>
      </c>
      <c r="D24" t="s">
        <v>13</v>
      </c>
      <c r="E24" t="s">
        <v>36</v>
      </c>
      <c r="F24">
        <v>1</v>
      </c>
      <c r="G24">
        <v>112</v>
      </c>
      <c r="H24">
        <v>7</v>
      </c>
      <c r="I24" s="1">
        <v>46033</v>
      </c>
      <c r="J24" s="1">
        <v>46040</v>
      </c>
      <c r="K24" t="s">
        <v>51</v>
      </c>
    </row>
    <row r="25" spans="1:11" x14ac:dyDescent="0.3">
      <c r="A25">
        <v>1004</v>
      </c>
      <c r="B25" t="s">
        <v>16</v>
      </c>
      <c r="C25" t="s">
        <v>25</v>
      </c>
      <c r="D25" t="s">
        <v>18</v>
      </c>
      <c r="E25" t="s">
        <v>23</v>
      </c>
      <c r="F25">
        <v>16</v>
      </c>
      <c r="G25">
        <v>11739</v>
      </c>
      <c r="H25">
        <v>12</v>
      </c>
      <c r="I25" s="1">
        <v>46034</v>
      </c>
      <c r="J25" s="1">
        <v>46040</v>
      </c>
      <c r="K25" t="s">
        <v>20</v>
      </c>
    </row>
    <row r="26" spans="1:11" x14ac:dyDescent="0.3">
      <c r="A26">
        <v>1072</v>
      </c>
      <c r="B26" t="s">
        <v>16</v>
      </c>
      <c r="C26" t="s">
        <v>25</v>
      </c>
      <c r="D26" t="s">
        <v>34</v>
      </c>
      <c r="E26" t="s">
        <v>61</v>
      </c>
      <c r="F26">
        <v>20</v>
      </c>
      <c r="G26">
        <v>58779</v>
      </c>
      <c r="H26">
        <v>0</v>
      </c>
      <c r="I26" s="1">
        <v>46035</v>
      </c>
      <c r="J26" s="1">
        <v>46036</v>
      </c>
      <c r="K26" t="s">
        <v>24</v>
      </c>
    </row>
    <row r="27" spans="1:11" x14ac:dyDescent="0.3">
      <c r="A27">
        <v>1368</v>
      </c>
      <c r="B27" t="s">
        <v>55</v>
      </c>
      <c r="C27" t="s">
        <v>38</v>
      </c>
      <c r="D27" t="s">
        <v>13</v>
      </c>
      <c r="E27" t="s">
        <v>36</v>
      </c>
      <c r="F27">
        <v>9</v>
      </c>
      <c r="G27">
        <v>115</v>
      </c>
      <c r="H27">
        <v>0</v>
      </c>
      <c r="I27" s="1">
        <v>46036</v>
      </c>
      <c r="J27" s="1">
        <v>46045</v>
      </c>
      <c r="K27" t="s">
        <v>24</v>
      </c>
    </row>
    <row r="28" spans="1:11" x14ac:dyDescent="0.3">
      <c r="A28">
        <v>1347</v>
      </c>
      <c r="B28" t="s">
        <v>29</v>
      </c>
      <c r="C28" t="s">
        <v>22</v>
      </c>
      <c r="D28" t="s">
        <v>34</v>
      </c>
      <c r="E28" t="s">
        <v>35</v>
      </c>
      <c r="F28">
        <v>16</v>
      </c>
      <c r="G28">
        <v>6034</v>
      </c>
      <c r="H28">
        <v>15</v>
      </c>
      <c r="I28" s="1">
        <v>46037</v>
      </c>
      <c r="J28" s="1">
        <v>46044</v>
      </c>
      <c r="K28" t="s">
        <v>24</v>
      </c>
    </row>
    <row r="29" spans="1:11" x14ac:dyDescent="0.3">
      <c r="A29">
        <v>1051</v>
      </c>
      <c r="B29" t="s">
        <v>58</v>
      </c>
      <c r="C29" t="s">
        <v>17</v>
      </c>
      <c r="D29" t="s">
        <v>13</v>
      </c>
      <c r="E29" t="s">
        <v>36</v>
      </c>
      <c r="F29">
        <v>12</v>
      </c>
      <c r="G29">
        <v>47</v>
      </c>
      <c r="H29">
        <v>2</v>
      </c>
      <c r="I29" s="1">
        <v>46037</v>
      </c>
      <c r="J29" s="1">
        <v>46045</v>
      </c>
      <c r="K29" t="s">
        <v>15</v>
      </c>
    </row>
    <row r="30" spans="1:11" x14ac:dyDescent="0.3">
      <c r="A30">
        <v>1045</v>
      </c>
      <c r="B30" t="s">
        <v>32</v>
      </c>
      <c r="C30" t="s">
        <v>38</v>
      </c>
      <c r="D30" t="s">
        <v>34</v>
      </c>
      <c r="E30" t="s">
        <v>35</v>
      </c>
      <c r="F30">
        <v>3</v>
      </c>
      <c r="G30">
        <v>62762</v>
      </c>
      <c r="H30">
        <v>7</v>
      </c>
      <c r="I30" s="1">
        <v>46038</v>
      </c>
      <c r="J30" s="1">
        <v>46039</v>
      </c>
      <c r="K30" t="s">
        <v>29</v>
      </c>
    </row>
    <row r="31" spans="1:11" x14ac:dyDescent="0.3">
      <c r="A31">
        <v>1334</v>
      </c>
      <c r="B31" t="s">
        <v>40</v>
      </c>
      <c r="C31" t="s">
        <v>12</v>
      </c>
      <c r="D31" t="s">
        <v>34</v>
      </c>
      <c r="E31" t="s">
        <v>41</v>
      </c>
      <c r="F31">
        <v>15</v>
      </c>
      <c r="G31">
        <v>39853</v>
      </c>
      <c r="H31">
        <v>7</v>
      </c>
      <c r="I31" s="1">
        <v>46038</v>
      </c>
      <c r="J31" s="1">
        <v>46047</v>
      </c>
      <c r="K31" t="s">
        <v>51</v>
      </c>
    </row>
    <row r="32" spans="1:11" x14ac:dyDescent="0.3">
      <c r="A32">
        <v>1069</v>
      </c>
      <c r="B32" t="s">
        <v>52</v>
      </c>
      <c r="C32" t="s">
        <v>31</v>
      </c>
      <c r="D32" t="s">
        <v>18</v>
      </c>
      <c r="E32" t="s">
        <v>28</v>
      </c>
      <c r="F32">
        <v>9</v>
      </c>
      <c r="G32">
        <v>4415</v>
      </c>
      <c r="H32">
        <v>5</v>
      </c>
      <c r="I32" s="1">
        <v>46039</v>
      </c>
      <c r="J32" s="1">
        <v>46046</v>
      </c>
      <c r="K32" t="s">
        <v>15</v>
      </c>
    </row>
    <row r="33" spans="1:11" x14ac:dyDescent="0.3">
      <c r="A33">
        <v>1246</v>
      </c>
      <c r="B33" t="s">
        <v>55</v>
      </c>
      <c r="C33" t="s">
        <v>22</v>
      </c>
      <c r="D33" t="s">
        <v>34</v>
      </c>
      <c r="E33" t="s">
        <v>35</v>
      </c>
      <c r="F33">
        <v>13</v>
      </c>
      <c r="G33">
        <v>1825</v>
      </c>
      <c r="H33">
        <v>2</v>
      </c>
      <c r="I33" s="1">
        <v>46039</v>
      </c>
      <c r="J33" s="1">
        <v>46045</v>
      </c>
      <c r="K33" t="s">
        <v>51</v>
      </c>
    </row>
    <row r="34" spans="1:11" x14ac:dyDescent="0.3">
      <c r="A34">
        <v>1026</v>
      </c>
      <c r="B34" t="s">
        <v>49</v>
      </c>
      <c r="C34" t="s">
        <v>31</v>
      </c>
      <c r="D34" t="s">
        <v>13</v>
      </c>
      <c r="E34" t="s">
        <v>50</v>
      </c>
      <c r="F34">
        <v>17</v>
      </c>
      <c r="G34">
        <v>323</v>
      </c>
      <c r="H34">
        <v>10</v>
      </c>
      <c r="I34" s="1">
        <v>46039</v>
      </c>
      <c r="J34" s="1">
        <v>46040</v>
      </c>
      <c r="K34" t="s">
        <v>29</v>
      </c>
    </row>
    <row r="35" spans="1:11" x14ac:dyDescent="0.3">
      <c r="A35">
        <v>1260</v>
      </c>
      <c r="B35" t="s">
        <v>54</v>
      </c>
      <c r="C35" t="s">
        <v>38</v>
      </c>
      <c r="D35" t="s">
        <v>34</v>
      </c>
      <c r="E35" t="s">
        <v>41</v>
      </c>
      <c r="F35">
        <v>19</v>
      </c>
      <c r="G35">
        <v>54981</v>
      </c>
      <c r="H35">
        <v>10</v>
      </c>
      <c r="I35" s="1">
        <v>46040</v>
      </c>
      <c r="J35" s="1">
        <v>46045</v>
      </c>
      <c r="K35" t="s">
        <v>29</v>
      </c>
    </row>
    <row r="36" spans="1:11" x14ac:dyDescent="0.3">
      <c r="A36">
        <v>1103</v>
      </c>
      <c r="B36" t="s">
        <v>16</v>
      </c>
      <c r="C36" t="s">
        <v>12</v>
      </c>
      <c r="D36" t="s">
        <v>18</v>
      </c>
      <c r="E36" t="s">
        <v>23</v>
      </c>
      <c r="F36">
        <v>7</v>
      </c>
      <c r="G36">
        <v>11925</v>
      </c>
      <c r="H36">
        <v>5</v>
      </c>
      <c r="I36" s="1">
        <v>46040</v>
      </c>
      <c r="J36" s="1">
        <v>46041</v>
      </c>
      <c r="K36" t="s">
        <v>29</v>
      </c>
    </row>
    <row r="37" spans="1:11" x14ac:dyDescent="0.3">
      <c r="A37">
        <v>1135</v>
      </c>
      <c r="B37" t="s">
        <v>49</v>
      </c>
      <c r="C37" t="s">
        <v>43</v>
      </c>
      <c r="D37" t="s">
        <v>34</v>
      </c>
      <c r="E37" t="s">
        <v>39</v>
      </c>
      <c r="F37">
        <v>14</v>
      </c>
      <c r="G37">
        <v>68534</v>
      </c>
      <c r="H37">
        <v>0</v>
      </c>
      <c r="I37" s="1">
        <v>46041</v>
      </c>
      <c r="J37" s="1">
        <v>46042</v>
      </c>
      <c r="K37" t="s">
        <v>15</v>
      </c>
    </row>
    <row r="38" spans="1:11" x14ac:dyDescent="0.3">
      <c r="A38">
        <v>1228</v>
      </c>
      <c r="B38" t="s">
        <v>29</v>
      </c>
      <c r="C38" t="s">
        <v>25</v>
      </c>
      <c r="D38" t="s">
        <v>34</v>
      </c>
      <c r="E38" t="s">
        <v>45</v>
      </c>
      <c r="F38">
        <v>16</v>
      </c>
      <c r="G38">
        <v>17477</v>
      </c>
      <c r="H38">
        <v>10</v>
      </c>
      <c r="I38" s="1">
        <v>46041</v>
      </c>
      <c r="J38" s="1">
        <v>46043</v>
      </c>
      <c r="K38" t="s">
        <v>24</v>
      </c>
    </row>
    <row r="39" spans="1:11" x14ac:dyDescent="0.3">
      <c r="A39">
        <v>1313</v>
      </c>
      <c r="B39" t="s">
        <v>59</v>
      </c>
      <c r="C39" t="s">
        <v>22</v>
      </c>
      <c r="D39" t="s">
        <v>18</v>
      </c>
      <c r="E39" t="s">
        <v>56</v>
      </c>
      <c r="F39">
        <v>6</v>
      </c>
      <c r="G39">
        <v>10864</v>
      </c>
      <c r="H39">
        <v>10</v>
      </c>
      <c r="I39" s="1">
        <v>46041</v>
      </c>
      <c r="J39" s="1">
        <v>46049</v>
      </c>
      <c r="K39" t="s">
        <v>15</v>
      </c>
    </row>
    <row r="40" spans="1:11" x14ac:dyDescent="0.3">
      <c r="A40">
        <v>1208</v>
      </c>
      <c r="B40" t="s">
        <v>54</v>
      </c>
      <c r="C40" t="s">
        <v>43</v>
      </c>
      <c r="D40" t="s">
        <v>18</v>
      </c>
      <c r="E40" t="s">
        <v>44</v>
      </c>
      <c r="F40">
        <v>6</v>
      </c>
      <c r="G40">
        <v>7627</v>
      </c>
      <c r="H40">
        <v>10</v>
      </c>
      <c r="I40" s="1">
        <v>46042</v>
      </c>
      <c r="J40" s="1">
        <v>46047</v>
      </c>
      <c r="K40" t="s">
        <v>20</v>
      </c>
    </row>
    <row r="41" spans="1:11" x14ac:dyDescent="0.3">
      <c r="A41">
        <v>1165</v>
      </c>
      <c r="B41" t="s">
        <v>48</v>
      </c>
      <c r="C41" t="s">
        <v>25</v>
      </c>
      <c r="D41" t="s">
        <v>13</v>
      </c>
      <c r="E41" t="s">
        <v>37</v>
      </c>
      <c r="F41">
        <v>1</v>
      </c>
      <c r="G41">
        <v>427</v>
      </c>
      <c r="H41">
        <v>0</v>
      </c>
      <c r="I41" s="1">
        <v>46042</v>
      </c>
      <c r="J41" s="1">
        <v>46050</v>
      </c>
      <c r="K41" t="s">
        <v>51</v>
      </c>
    </row>
    <row r="42" spans="1:11" x14ac:dyDescent="0.3">
      <c r="A42">
        <v>1304</v>
      </c>
      <c r="B42" t="s">
        <v>59</v>
      </c>
      <c r="C42" t="s">
        <v>25</v>
      </c>
      <c r="D42" t="s">
        <v>13</v>
      </c>
      <c r="E42" t="s">
        <v>36</v>
      </c>
      <c r="F42">
        <v>20</v>
      </c>
      <c r="G42">
        <v>368</v>
      </c>
      <c r="H42">
        <v>7</v>
      </c>
      <c r="I42" s="1">
        <v>46042</v>
      </c>
      <c r="J42" s="1">
        <v>46051</v>
      </c>
      <c r="K42" t="s">
        <v>51</v>
      </c>
    </row>
    <row r="43" spans="1:11" x14ac:dyDescent="0.3">
      <c r="A43">
        <v>1141</v>
      </c>
      <c r="B43" t="s">
        <v>11</v>
      </c>
      <c r="C43" t="s">
        <v>17</v>
      </c>
      <c r="D43" t="s">
        <v>18</v>
      </c>
      <c r="E43" t="s">
        <v>44</v>
      </c>
      <c r="F43">
        <v>20</v>
      </c>
      <c r="G43">
        <v>6835</v>
      </c>
      <c r="H43">
        <v>2</v>
      </c>
      <c r="I43" s="1">
        <v>46043</v>
      </c>
      <c r="J43" s="1">
        <v>46053</v>
      </c>
      <c r="K43" t="s">
        <v>15</v>
      </c>
    </row>
    <row r="44" spans="1:11" x14ac:dyDescent="0.3">
      <c r="A44">
        <v>1389</v>
      </c>
      <c r="B44" t="s">
        <v>32</v>
      </c>
      <c r="C44" t="s">
        <v>12</v>
      </c>
      <c r="D44" t="s">
        <v>34</v>
      </c>
      <c r="E44" t="s">
        <v>41</v>
      </c>
      <c r="F44">
        <v>3</v>
      </c>
      <c r="G44">
        <v>56380</v>
      </c>
      <c r="H44">
        <v>5</v>
      </c>
      <c r="I44" s="1">
        <v>46044</v>
      </c>
      <c r="J44" s="1">
        <v>46048</v>
      </c>
      <c r="K44" t="s">
        <v>51</v>
      </c>
    </row>
    <row r="45" spans="1:11" x14ac:dyDescent="0.3">
      <c r="A45">
        <v>1226</v>
      </c>
      <c r="B45" t="s">
        <v>29</v>
      </c>
      <c r="C45" t="s">
        <v>31</v>
      </c>
      <c r="D45" t="s">
        <v>34</v>
      </c>
      <c r="E45" t="s">
        <v>41</v>
      </c>
      <c r="F45">
        <v>13</v>
      </c>
      <c r="G45">
        <v>21332</v>
      </c>
      <c r="H45">
        <v>0</v>
      </c>
      <c r="I45" s="1">
        <v>46044</v>
      </c>
      <c r="J45" s="1">
        <v>46048</v>
      </c>
      <c r="K45" t="s">
        <v>29</v>
      </c>
    </row>
    <row r="46" spans="1:11" x14ac:dyDescent="0.3">
      <c r="A46">
        <v>1128</v>
      </c>
      <c r="B46" t="s">
        <v>30</v>
      </c>
      <c r="C46" t="s">
        <v>22</v>
      </c>
      <c r="D46" t="s">
        <v>34</v>
      </c>
      <c r="E46" t="s">
        <v>61</v>
      </c>
      <c r="F46">
        <v>6</v>
      </c>
      <c r="G46">
        <v>5001</v>
      </c>
      <c r="H46">
        <v>7</v>
      </c>
      <c r="I46" s="1">
        <v>46044</v>
      </c>
      <c r="J46" s="1">
        <v>46050</v>
      </c>
      <c r="K46" t="s">
        <v>29</v>
      </c>
    </row>
    <row r="47" spans="1:11" x14ac:dyDescent="0.3">
      <c r="A47">
        <v>1197</v>
      </c>
      <c r="B47" t="s">
        <v>52</v>
      </c>
      <c r="C47" t="s">
        <v>31</v>
      </c>
      <c r="D47" t="s">
        <v>34</v>
      </c>
      <c r="E47" t="s">
        <v>35</v>
      </c>
      <c r="F47">
        <v>5</v>
      </c>
      <c r="G47">
        <v>45352</v>
      </c>
      <c r="H47">
        <v>12</v>
      </c>
      <c r="I47" s="1">
        <v>46045</v>
      </c>
      <c r="J47" s="1">
        <v>46048</v>
      </c>
      <c r="K47" t="s">
        <v>15</v>
      </c>
    </row>
    <row r="48" spans="1:11" x14ac:dyDescent="0.3">
      <c r="A48">
        <v>1076</v>
      </c>
      <c r="B48" t="s">
        <v>29</v>
      </c>
      <c r="C48" t="s">
        <v>17</v>
      </c>
      <c r="D48" t="s">
        <v>34</v>
      </c>
      <c r="E48" t="s">
        <v>35</v>
      </c>
      <c r="F48">
        <v>19</v>
      </c>
      <c r="G48">
        <v>26714</v>
      </c>
      <c r="H48">
        <v>5</v>
      </c>
      <c r="I48" s="1">
        <v>46045</v>
      </c>
      <c r="J48" s="1">
        <v>46055</v>
      </c>
      <c r="K48" t="s">
        <v>29</v>
      </c>
    </row>
    <row r="49" spans="1:11" x14ac:dyDescent="0.3">
      <c r="A49">
        <v>1224</v>
      </c>
      <c r="B49" t="s">
        <v>30</v>
      </c>
      <c r="C49" t="s">
        <v>38</v>
      </c>
      <c r="D49" t="s">
        <v>34</v>
      </c>
      <c r="E49" t="s">
        <v>45</v>
      </c>
      <c r="F49">
        <v>16</v>
      </c>
      <c r="G49">
        <v>18378</v>
      </c>
      <c r="H49">
        <v>10</v>
      </c>
      <c r="I49" s="1">
        <v>46045</v>
      </c>
      <c r="J49" s="1">
        <v>46052</v>
      </c>
      <c r="K49" t="s">
        <v>24</v>
      </c>
    </row>
    <row r="50" spans="1:11" x14ac:dyDescent="0.3">
      <c r="A50">
        <v>1293</v>
      </c>
      <c r="B50" t="s">
        <v>49</v>
      </c>
      <c r="C50" t="s">
        <v>43</v>
      </c>
      <c r="D50" t="s">
        <v>18</v>
      </c>
      <c r="E50" t="s">
        <v>23</v>
      </c>
      <c r="F50">
        <v>7</v>
      </c>
      <c r="G50">
        <v>11481</v>
      </c>
      <c r="H50">
        <v>15</v>
      </c>
      <c r="I50" s="1">
        <v>46045</v>
      </c>
      <c r="J50" s="1">
        <v>46050</v>
      </c>
      <c r="K50" t="s">
        <v>20</v>
      </c>
    </row>
    <row r="51" spans="1:11" x14ac:dyDescent="0.3">
      <c r="A51">
        <v>1086</v>
      </c>
      <c r="B51" t="s">
        <v>32</v>
      </c>
      <c r="C51" t="s">
        <v>12</v>
      </c>
      <c r="D51" t="s">
        <v>13</v>
      </c>
      <c r="E51" t="s">
        <v>53</v>
      </c>
      <c r="F51">
        <v>15</v>
      </c>
      <c r="G51">
        <v>40</v>
      </c>
      <c r="H51">
        <v>10</v>
      </c>
      <c r="I51" s="1">
        <v>46045</v>
      </c>
      <c r="J51" s="1">
        <v>46049</v>
      </c>
      <c r="K51" t="s">
        <v>24</v>
      </c>
    </row>
    <row r="52" spans="1:11" x14ac:dyDescent="0.3">
      <c r="A52">
        <v>1029</v>
      </c>
      <c r="B52" t="s">
        <v>30</v>
      </c>
      <c r="C52" t="s">
        <v>25</v>
      </c>
      <c r="D52" t="s">
        <v>13</v>
      </c>
      <c r="E52" t="s">
        <v>36</v>
      </c>
      <c r="F52">
        <v>18</v>
      </c>
      <c r="G52">
        <v>443</v>
      </c>
      <c r="H52">
        <v>5</v>
      </c>
      <c r="I52" s="1">
        <v>46046</v>
      </c>
      <c r="J52" s="1">
        <v>46054</v>
      </c>
      <c r="K52" t="s">
        <v>24</v>
      </c>
    </row>
    <row r="53" spans="1:11" x14ac:dyDescent="0.3">
      <c r="A53">
        <v>1366</v>
      </c>
      <c r="B53" t="s">
        <v>26</v>
      </c>
      <c r="C53" t="s">
        <v>17</v>
      </c>
      <c r="D53" t="s">
        <v>34</v>
      </c>
      <c r="E53" t="s">
        <v>61</v>
      </c>
      <c r="F53">
        <v>20</v>
      </c>
      <c r="G53">
        <v>44312</v>
      </c>
      <c r="H53">
        <v>10</v>
      </c>
      <c r="I53" s="1">
        <v>46047</v>
      </c>
      <c r="J53" s="1">
        <v>46054</v>
      </c>
      <c r="K53" t="s">
        <v>29</v>
      </c>
    </row>
    <row r="54" spans="1:11" x14ac:dyDescent="0.3">
      <c r="A54">
        <v>1393</v>
      </c>
      <c r="B54" t="s">
        <v>30</v>
      </c>
      <c r="C54" t="s">
        <v>25</v>
      </c>
      <c r="D54" t="s">
        <v>34</v>
      </c>
      <c r="E54" t="s">
        <v>45</v>
      </c>
      <c r="F54">
        <v>17</v>
      </c>
      <c r="G54">
        <v>30351</v>
      </c>
      <c r="H54">
        <v>15</v>
      </c>
      <c r="I54" s="1">
        <v>46047</v>
      </c>
      <c r="J54" s="1">
        <v>46051</v>
      </c>
      <c r="K54" t="s">
        <v>51</v>
      </c>
    </row>
    <row r="55" spans="1:11" x14ac:dyDescent="0.3">
      <c r="A55">
        <v>1084</v>
      </c>
      <c r="B55" t="s">
        <v>49</v>
      </c>
      <c r="C55" t="s">
        <v>31</v>
      </c>
      <c r="D55" t="s">
        <v>18</v>
      </c>
      <c r="E55" t="s">
        <v>28</v>
      </c>
      <c r="F55">
        <v>4</v>
      </c>
      <c r="G55">
        <v>6901</v>
      </c>
      <c r="H55">
        <v>10</v>
      </c>
      <c r="I55" s="1">
        <v>46047</v>
      </c>
      <c r="J55" s="1">
        <v>46057</v>
      </c>
      <c r="K55" t="s">
        <v>20</v>
      </c>
    </row>
    <row r="56" spans="1:11" x14ac:dyDescent="0.3">
      <c r="A56">
        <v>1385</v>
      </c>
      <c r="B56" t="s">
        <v>26</v>
      </c>
      <c r="C56" t="s">
        <v>33</v>
      </c>
      <c r="D56" t="s">
        <v>34</v>
      </c>
      <c r="E56" t="s">
        <v>39</v>
      </c>
      <c r="F56">
        <v>12</v>
      </c>
      <c r="G56">
        <v>61360</v>
      </c>
      <c r="H56">
        <v>10</v>
      </c>
      <c r="I56" s="1">
        <v>46048</v>
      </c>
      <c r="J56" s="1">
        <v>46053</v>
      </c>
      <c r="K56" t="s">
        <v>51</v>
      </c>
    </row>
    <row r="57" spans="1:11" x14ac:dyDescent="0.3">
      <c r="A57">
        <v>1176</v>
      </c>
      <c r="B57" t="s">
        <v>58</v>
      </c>
      <c r="C57" t="s">
        <v>38</v>
      </c>
      <c r="D57" t="s">
        <v>34</v>
      </c>
      <c r="E57" t="s">
        <v>41</v>
      </c>
      <c r="F57">
        <v>17</v>
      </c>
      <c r="G57">
        <v>46937</v>
      </c>
      <c r="H57">
        <v>12</v>
      </c>
      <c r="I57" s="1">
        <v>46048</v>
      </c>
      <c r="J57" s="1">
        <v>46056</v>
      </c>
      <c r="K57" t="s">
        <v>29</v>
      </c>
    </row>
    <row r="58" spans="1:11" x14ac:dyDescent="0.3">
      <c r="A58">
        <v>1307</v>
      </c>
      <c r="B58" t="s">
        <v>57</v>
      </c>
      <c r="C58" t="s">
        <v>43</v>
      </c>
      <c r="D58" t="s">
        <v>34</v>
      </c>
      <c r="E58" t="s">
        <v>35</v>
      </c>
      <c r="F58">
        <v>18</v>
      </c>
      <c r="G58">
        <v>7541</v>
      </c>
      <c r="H58">
        <v>12</v>
      </c>
      <c r="I58" s="1">
        <v>46048</v>
      </c>
      <c r="J58" s="1">
        <v>46051</v>
      </c>
      <c r="K58" t="s">
        <v>51</v>
      </c>
    </row>
    <row r="59" spans="1:11" x14ac:dyDescent="0.3">
      <c r="A59">
        <v>1348</v>
      </c>
      <c r="B59" t="s">
        <v>11</v>
      </c>
      <c r="C59" t="s">
        <v>33</v>
      </c>
      <c r="D59" t="s">
        <v>13</v>
      </c>
      <c r="E59" t="s">
        <v>50</v>
      </c>
      <c r="F59">
        <v>12</v>
      </c>
      <c r="G59">
        <v>244</v>
      </c>
      <c r="H59">
        <v>7</v>
      </c>
      <c r="I59" s="1">
        <v>46048</v>
      </c>
      <c r="J59" s="1">
        <v>46053</v>
      </c>
      <c r="K59" t="s">
        <v>15</v>
      </c>
    </row>
    <row r="60" spans="1:11" x14ac:dyDescent="0.3">
      <c r="A60">
        <v>1092</v>
      </c>
      <c r="B60" t="s">
        <v>21</v>
      </c>
      <c r="C60" t="s">
        <v>22</v>
      </c>
      <c r="D60" t="s">
        <v>34</v>
      </c>
      <c r="E60" t="s">
        <v>41</v>
      </c>
      <c r="F60">
        <v>9</v>
      </c>
      <c r="G60">
        <v>23438</v>
      </c>
      <c r="H60">
        <v>2</v>
      </c>
      <c r="I60" s="1">
        <v>46049</v>
      </c>
      <c r="J60" s="1">
        <v>46055</v>
      </c>
      <c r="K60" t="s">
        <v>29</v>
      </c>
    </row>
    <row r="61" spans="1:11" x14ac:dyDescent="0.3">
      <c r="A61">
        <v>1116</v>
      </c>
      <c r="B61" t="s">
        <v>16</v>
      </c>
      <c r="C61" t="s">
        <v>25</v>
      </c>
      <c r="D61" t="s">
        <v>18</v>
      </c>
      <c r="E61" t="s">
        <v>56</v>
      </c>
      <c r="F61">
        <v>2</v>
      </c>
      <c r="G61">
        <v>12692</v>
      </c>
      <c r="H61">
        <v>15</v>
      </c>
      <c r="I61" s="1">
        <v>46049</v>
      </c>
      <c r="J61" s="1">
        <v>46051</v>
      </c>
      <c r="K61" t="s">
        <v>15</v>
      </c>
    </row>
    <row r="62" spans="1:11" x14ac:dyDescent="0.3">
      <c r="A62">
        <v>1230</v>
      </c>
      <c r="B62" t="s">
        <v>59</v>
      </c>
      <c r="C62" t="s">
        <v>33</v>
      </c>
      <c r="D62" t="s">
        <v>34</v>
      </c>
      <c r="E62" t="s">
        <v>60</v>
      </c>
      <c r="F62">
        <v>7</v>
      </c>
      <c r="G62">
        <v>2932</v>
      </c>
      <c r="H62">
        <v>7</v>
      </c>
      <c r="I62" s="1">
        <v>46050</v>
      </c>
      <c r="J62" s="1">
        <v>46059</v>
      </c>
      <c r="K62" t="s">
        <v>24</v>
      </c>
    </row>
    <row r="63" spans="1:11" x14ac:dyDescent="0.3">
      <c r="A63">
        <v>1173</v>
      </c>
      <c r="B63" t="s">
        <v>40</v>
      </c>
      <c r="C63" t="s">
        <v>17</v>
      </c>
      <c r="D63" t="s">
        <v>13</v>
      </c>
      <c r="E63" t="s">
        <v>37</v>
      </c>
      <c r="F63">
        <v>15</v>
      </c>
      <c r="G63">
        <v>214</v>
      </c>
      <c r="H63">
        <v>10</v>
      </c>
      <c r="I63" s="1">
        <v>46050</v>
      </c>
      <c r="J63" s="1">
        <v>46060</v>
      </c>
      <c r="K63" t="s">
        <v>51</v>
      </c>
    </row>
    <row r="64" spans="1:11" x14ac:dyDescent="0.3">
      <c r="A64">
        <v>1250</v>
      </c>
      <c r="B64" t="s">
        <v>11</v>
      </c>
      <c r="C64" t="s">
        <v>17</v>
      </c>
      <c r="D64" t="s">
        <v>34</v>
      </c>
      <c r="E64" t="s">
        <v>45</v>
      </c>
      <c r="F64">
        <v>2</v>
      </c>
      <c r="G64">
        <v>65953</v>
      </c>
      <c r="H64">
        <v>7</v>
      </c>
      <c r="I64" s="1">
        <v>46051</v>
      </c>
      <c r="J64" s="1">
        <v>46053</v>
      </c>
      <c r="K64" t="s">
        <v>29</v>
      </c>
    </row>
    <row r="65" spans="1:11" x14ac:dyDescent="0.3">
      <c r="A65">
        <v>1375</v>
      </c>
      <c r="B65" t="s">
        <v>46</v>
      </c>
      <c r="C65" t="s">
        <v>43</v>
      </c>
      <c r="D65" t="s">
        <v>34</v>
      </c>
      <c r="E65" t="s">
        <v>45</v>
      </c>
      <c r="F65">
        <v>20</v>
      </c>
      <c r="G65">
        <v>56766</v>
      </c>
      <c r="H65">
        <v>0</v>
      </c>
      <c r="I65" s="1">
        <v>46052</v>
      </c>
      <c r="J65" s="1">
        <v>46061</v>
      </c>
      <c r="K65" t="s">
        <v>24</v>
      </c>
    </row>
    <row r="66" spans="1:11" x14ac:dyDescent="0.3">
      <c r="A66">
        <v>1190</v>
      </c>
      <c r="B66" t="s">
        <v>57</v>
      </c>
      <c r="C66" t="s">
        <v>17</v>
      </c>
      <c r="D66" t="s">
        <v>18</v>
      </c>
      <c r="E66" t="s">
        <v>28</v>
      </c>
      <c r="F66">
        <v>4</v>
      </c>
      <c r="G66">
        <v>10154</v>
      </c>
      <c r="H66">
        <v>7</v>
      </c>
      <c r="I66" s="1">
        <v>46052</v>
      </c>
      <c r="J66" s="1">
        <v>46062</v>
      </c>
      <c r="K66" t="s">
        <v>20</v>
      </c>
    </row>
    <row r="67" spans="1:11" x14ac:dyDescent="0.3">
      <c r="A67">
        <v>1034</v>
      </c>
      <c r="B67" t="s">
        <v>55</v>
      </c>
      <c r="C67" t="s">
        <v>33</v>
      </c>
      <c r="D67" t="s">
        <v>18</v>
      </c>
      <c r="E67" t="s">
        <v>28</v>
      </c>
      <c r="F67">
        <v>17</v>
      </c>
      <c r="G67">
        <v>5104</v>
      </c>
      <c r="H67">
        <v>12</v>
      </c>
      <c r="I67" s="1">
        <v>46052</v>
      </c>
      <c r="J67" s="1">
        <v>46061</v>
      </c>
      <c r="K67" t="s">
        <v>51</v>
      </c>
    </row>
    <row r="68" spans="1:11" x14ac:dyDescent="0.3">
      <c r="A68">
        <v>1210</v>
      </c>
      <c r="B68" t="s">
        <v>30</v>
      </c>
      <c r="C68" t="s">
        <v>31</v>
      </c>
      <c r="D68" t="s">
        <v>13</v>
      </c>
      <c r="E68" t="s">
        <v>53</v>
      </c>
      <c r="F68">
        <v>10</v>
      </c>
      <c r="G68">
        <v>349</v>
      </c>
      <c r="H68">
        <v>0</v>
      </c>
      <c r="I68" s="1">
        <v>46052</v>
      </c>
      <c r="J68" s="1">
        <v>46060</v>
      </c>
      <c r="K68" t="s">
        <v>29</v>
      </c>
    </row>
    <row r="69" spans="1:11" x14ac:dyDescent="0.3">
      <c r="A69">
        <v>1149</v>
      </c>
      <c r="B69" t="s">
        <v>26</v>
      </c>
      <c r="C69" t="s">
        <v>38</v>
      </c>
      <c r="D69" t="s">
        <v>34</v>
      </c>
      <c r="E69" t="s">
        <v>35</v>
      </c>
      <c r="F69">
        <v>10</v>
      </c>
      <c r="G69">
        <v>22853</v>
      </c>
      <c r="H69">
        <v>7</v>
      </c>
      <c r="I69" s="1">
        <v>46053</v>
      </c>
      <c r="J69" s="1">
        <v>46054</v>
      </c>
      <c r="K69" t="s">
        <v>29</v>
      </c>
    </row>
    <row r="70" spans="1:11" x14ac:dyDescent="0.3">
      <c r="A70">
        <v>1324</v>
      </c>
      <c r="B70" t="s">
        <v>32</v>
      </c>
      <c r="C70" t="s">
        <v>22</v>
      </c>
      <c r="D70" t="s">
        <v>18</v>
      </c>
      <c r="E70" t="s">
        <v>19</v>
      </c>
      <c r="F70">
        <v>1</v>
      </c>
      <c r="G70">
        <v>4286</v>
      </c>
      <c r="H70">
        <v>15</v>
      </c>
      <c r="I70" s="1">
        <v>46053</v>
      </c>
      <c r="J70" s="1">
        <v>46056</v>
      </c>
      <c r="K70" t="s">
        <v>20</v>
      </c>
    </row>
    <row r="71" spans="1:11" x14ac:dyDescent="0.3">
      <c r="A71">
        <v>1096</v>
      </c>
      <c r="B71" t="s">
        <v>49</v>
      </c>
      <c r="C71" t="s">
        <v>17</v>
      </c>
      <c r="D71" t="s">
        <v>18</v>
      </c>
      <c r="E71" t="s">
        <v>23</v>
      </c>
      <c r="F71">
        <v>15</v>
      </c>
      <c r="G71">
        <v>14724</v>
      </c>
      <c r="H71">
        <v>15</v>
      </c>
      <c r="I71" s="1">
        <v>46054</v>
      </c>
      <c r="J71" s="1">
        <v>46061</v>
      </c>
      <c r="K71" t="s">
        <v>20</v>
      </c>
    </row>
    <row r="72" spans="1:11" x14ac:dyDescent="0.3">
      <c r="A72">
        <v>1006</v>
      </c>
      <c r="B72" t="s">
        <v>27</v>
      </c>
      <c r="C72" t="s">
        <v>25</v>
      </c>
      <c r="D72" t="s">
        <v>18</v>
      </c>
      <c r="E72" t="s">
        <v>28</v>
      </c>
      <c r="F72">
        <v>3</v>
      </c>
      <c r="G72">
        <v>2714</v>
      </c>
      <c r="H72">
        <v>5</v>
      </c>
      <c r="I72" s="1">
        <v>46055</v>
      </c>
      <c r="J72" s="1">
        <v>46062</v>
      </c>
      <c r="K72" t="s">
        <v>29</v>
      </c>
    </row>
    <row r="73" spans="1:11" x14ac:dyDescent="0.3">
      <c r="A73">
        <v>1285</v>
      </c>
      <c r="B73" t="s">
        <v>32</v>
      </c>
      <c r="C73" t="s">
        <v>38</v>
      </c>
      <c r="D73" t="s">
        <v>13</v>
      </c>
      <c r="E73" t="s">
        <v>36</v>
      </c>
      <c r="F73">
        <v>7</v>
      </c>
      <c r="G73">
        <v>439</v>
      </c>
      <c r="H73">
        <v>15</v>
      </c>
      <c r="I73" s="1">
        <v>46055</v>
      </c>
      <c r="J73" s="1">
        <v>46058</v>
      </c>
      <c r="K73" t="s">
        <v>20</v>
      </c>
    </row>
    <row r="74" spans="1:11" x14ac:dyDescent="0.3">
      <c r="A74">
        <v>1281</v>
      </c>
      <c r="B74" t="s">
        <v>55</v>
      </c>
      <c r="C74" t="s">
        <v>17</v>
      </c>
      <c r="D74" t="s">
        <v>13</v>
      </c>
      <c r="E74" t="s">
        <v>50</v>
      </c>
      <c r="F74">
        <v>6</v>
      </c>
      <c r="G74">
        <v>253</v>
      </c>
      <c r="H74">
        <v>0</v>
      </c>
      <c r="I74" s="1">
        <v>46055</v>
      </c>
      <c r="J74" s="1">
        <v>46063</v>
      </c>
      <c r="K74" t="s">
        <v>24</v>
      </c>
    </row>
    <row r="75" spans="1:11" x14ac:dyDescent="0.3">
      <c r="A75">
        <v>1136</v>
      </c>
      <c r="B75" t="s">
        <v>27</v>
      </c>
      <c r="C75" t="s">
        <v>43</v>
      </c>
      <c r="D75" t="s">
        <v>18</v>
      </c>
      <c r="E75" t="s">
        <v>56</v>
      </c>
      <c r="F75">
        <v>19</v>
      </c>
      <c r="G75">
        <v>14528</v>
      </c>
      <c r="H75">
        <v>12</v>
      </c>
      <c r="I75" s="1">
        <v>46056</v>
      </c>
      <c r="J75" s="1">
        <v>46062</v>
      </c>
      <c r="K75" t="s">
        <v>24</v>
      </c>
    </row>
    <row r="76" spans="1:11" x14ac:dyDescent="0.3">
      <c r="A76">
        <v>1394</v>
      </c>
      <c r="B76" t="s">
        <v>54</v>
      </c>
      <c r="C76" t="s">
        <v>12</v>
      </c>
      <c r="D76" t="s">
        <v>13</v>
      </c>
      <c r="E76" t="s">
        <v>14</v>
      </c>
      <c r="F76">
        <v>10</v>
      </c>
      <c r="G76">
        <v>138</v>
      </c>
      <c r="H76">
        <v>2</v>
      </c>
      <c r="I76" s="1">
        <v>46056</v>
      </c>
      <c r="J76" s="1">
        <v>46057</v>
      </c>
      <c r="K76" t="s">
        <v>15</v>
      </c>
    </row>
    <row r="77" spans="1:11" x14ac:dyDescent="0.3">
      <c r="A77">
        <v>1105</v>
      </c>
      <c r="B77" t="s">
        <v>59</v>
      </c>
      <c r="C77" t="s">
        <v>25</v>
      </c>
      <c r="D77" t="s">
        <v>13</v>
      </c>
      <c r="E77" t="s">
        <v>50</v>
      </c>
      <c r="F77">
        <v>2</v>
      </c>
      <c r="G77">
        <v>493</v>
      </c>
      <c r="H77">
        <v>12</v>
      </c>
      <c r="I77" s="1">
        <v>46057</v>
      </c>
      <c r="J77" s="1">
        <v>46066</v>
      </c>
      <c r="K77" t="s">
        <v>51</v>
      </c>
    </row>
    <row r="78" spans="1:11" x14ac:dyDescent="0.3">
      <c r="A78">
        <v>1256</v>
      </c>
      <c r="B78" t="s">
        <v>48</v>
      </c>
      <c r="C78" t="s">
        <v>31</v>
      </c>
      <c r="D78" t="s">
        <v>13</v>
      </c>
      <c r="E78" t="s">
        <v>50</v>
      </c>
      <c r="F78">
        <v>19</v>
      </c>
      <c r="G78">
        <v>406</v>
      </c>
      <c r="H78">
        <v>7</v>
      </c>
      <c r="I78" s="1">
        <v>46057</v>
      </c>
      <c r="J78" s="1">
        <v>46061</v>
      </c>
      <c r="K78" t="s">
        <v>15</v>
      </c>
    </row>
    <row r="79" spans="1:11" x14ac:dyDescent="0.3">
      <c r="A79">
        <v>1081</v>
      </c>
      <c r="B79" t="s">
        <v>47</v>
      </c>
      <c r="C79" t="s">
        <v>12</v>
      </c>
      <c r="D79" t="s">
        <v>34</v>
      </c>
      <c r="E79" t="s">
        <v>35</v>
      </c>
      <c r="F79">
        <v>15</v>
      </c>
      <c r="G79">
        <v>59912</v>
      </c>
      <c r="H79">
        <v>7</v>
      </c>
      <c r="I79" s="1">
        <v>46058</v>
      </c>
      <c r="J79" s="1">
        <v>46060</v>
      </c>
      <c r="K79" t="s">
        <v>51</v>
      </c>
    </row>
    <row r="80" spans="1:11" x14ac:dyDescent="0.3">
      <c r="A80">
        <v>1067</v>
      </c>
      <c r="B80" t="s">
        <v>32</v>
      </c>
      <c r="C80" t="s">
        <v>43</v>
      </c>
      <c r="D80" t="s">
        <v>18</v>
      </c>
      <c r="E80" t="s">
        <v>56</v>
      </c>
      <c r="F80">
        <v>14</v>
      </c>
      <c r="G80">
        <v>10869</v>
      </c>
      <c r="H80">
        <v>0</v>
      </c>
      <c r="I80" s="1">
        <v>46058</v>
      </c>
      <c r="J80" s="1">
        <v>46062</v>
      </c>
      <c r="K80" t="s">
        <v>29</v>
      </c>
    </row>
    <row r="81" spans="1:11" x14ac:dyDescent="0.3">
      <c r="A81">
        <v>1099</v>
      </c>
      <c r="B81" t="s">
        <v>26</v>
      </c>
      <c r="C81" t="s">
        <v>31</v>
      </c>
      <c r="D81" t="s">
        <v>18</v>
      </c>
      <c r="E81" t="s">
        <v>19</v>
      </c>
      <c r="F81">
        <v>1</v>
      </c>
      <c r="G81">
        <v>5165</v>
      </c>
      <c r="H81">
        <v>2</v>
      </c>
      <c r="I81" s="1">
        <v>46058</v>
      </c>
      <c r="J81" s="1">
        <v>46060</v>
      </c>
      <c r="K81" t="s">
        <v>15</v>
      </c>
    </row>
    <row r="82" spans="1:11" x14ac:dyDescent="0.3">
      <c r="A82">
        <v>1061</v>
      </c>
      <c r="B82" t="s">
        <v>57</v>
      </c>
      <c r="C82" t="s">
        <v>12</v>
      </c>
      <c r="D82" t="s">
        <v>34</v>
      </c>
      <c r="E82" t="s">
        <v>41</v>
      </c>
      <c r="F82">
        <v>16</v>
      </c>
      <c r="G82">
        <v>59084</v>
      </c>
      <c r="H82">
        <v>0</v>
      </c>
      <c r="I82" s="1">
        <v>46060</v>
      </c>
      <c r="J82" s="1">
        <v>46069</v>
      </c>
      <c r="K82" t="s">
        <v>20</v>
      </c>
    </row>
    <row r="83" spans="1:11" x14ac:dyDescent="0.3">
      <c r="A83">
        <v>1232</v>
      </c>
      <c r="B83" t="s">
        <v>21</v>
      </c>
      <c r="C83" t="s">
        <v>12</v>
      </c>
      <c r="D83" t="s">
        <v>34</v>
      </c>
      <c r="E83" t="s">
        <v>60</v>
      </c>
      <c r="F83">
        <v>3</v>
      </c>
      <c r="G83">
        <v>13272</v>
      </c>
      <c r="H83">
        <v>2</v>
      </c>
      <c r="I83" s="1">
        <v>46060</v>
      </c>
      <c r="J83" s="1">
        <v>46065</v>
      </c>
      <c r="K83" t="s">
        <v>15</v>
      </c>
    </row>
    <row r="84" spans="1:11" x14ac:dyDescent="0.3">
      <c r="A84">
        <v>1104</v>
      </c>
      <c r="B84" t="s">
        <v>16</v>
      </c>
      <c r="C84" t="s">
        <v>43</v>
      </c>
      <c r="D84" t="s">
        <v>18</v>
      </c>
      <c r="E84" t="s">
        <v>19</v>
      </c>
      <c r="F84">
        <v>10</v>
      </c>
      <c r="G84">
        <v>12848</v>
      </c>
      <c r="H84">
        <v>15</v>
      </c>
      <c r="I84" s="1">
        <v>46060</v>
      </c>
      <c r="J84" s="1">
        <v>46064</v>
      </c>
      <c r="K84" t="s">
        <v>29</v>
      </c>
    </row>
    <row r="85" spans="1:11" x14ac:dyDescent="0.3">
      <c r="A85">
        <v>1140</v>
      </c>
      <c r="B85" t="s">
        <v>57</v>
      </c>
      <c r="C85" t="s">
        <v>38</v>
      </c>
      <c r="D85" t="s">
        <v>34</v>
      </c>
      <c r="E85" t="s">
        <v>41</v>
      </c>
      <c r="F85">
        <v>5</v>
      </c>
      <c r="G85">
        <v>68012</v>
      </c>
      <c r="H85">
        <v>5</v>
      </c>
      <c r="I85" s="1">
        <v>46061</v>
      </c>
      <c r="J85" s="1">
        <v>46065</v>
      </c>
      <c r="K85" t="s">
        <v>15</v>
      </c>
    </row>
    <row r="86" spans="1:11" x14ac:dyDescent="0.3">
      <c r="A86">
        <v>1120</v>
      </c>
      <c r="B86" t="s">
        <v>32</v>
      </c>
      <c r="C86" t="s">
        <v>38</v>
      </c>
      <c r="D86" t="s">
        <v>13</v>
      </c>
      <c r="E86" t="s">
        <v>36</v>
      </c>
      <c r="F86">
        <v>10</v>
      </c>
      <c r="G86">
        <v>438</v>
      </c>
      <c r="H86">
        <v>10</v>
      </c>
      <c r="I86" s="1">
        <v>46061</v>
      </c>
      <c r="J86" s="1">
        <v>46065</v>
      </c>
      <c r="K86" t="s">
        <v>51</v>
      </c>
    </row>
    <row r="87" spans="1:11" x14ac:dyDescent="0.3">
      <c r="A87">
        <v>1395</v>
      </c>
      <c r="B87" t="s">
        <v>54</v>
      </c>
      <c r="C87" t="s">
        <v>33</v>
      </c>
      <c r="D87" t="s">
        <v>18</v>
      </c>
      <c r="E87" t="s">
        <v>44</v>
      </c>
      <c r="F87">
        <v>18</v>
      </c>
      <c r="G87">
        <v>10402</v>
      </c>
      <c r="H87">
        <v>15</v>
      </c>
      <c r="I87" s="1">
        <v>46062</v>
      </c>
      <c r="J87" s="1">
        <v>46067</v>
      </c>
      <c r="K87" t="s">
        <v>29</v>
      </c>
    </row>
    <row r="88" spans="1:11" x14ac:dyDescent="0.3">
      <c r="A88">
        <v>1152</v>
      </c>
      <c r="B88" t="s">
        <v>27</v>
      </c>
      <c r="C88" t="s">
        <v>31</v>
      </c>
      <c r="D88" t="s">
        <v>34</v>
      </c>
      <c r="E88" t="s">
        <v>61</v>
      </c>
      <c r="F88">
        <v>14</v>
      </c>
      <c r="G88">
        <v>8150</v>
      </c>
      <c r="H88">
        <v>10</v>
      </c>
      <c r="I88" s="1">
        <v>46062</v>
      </c>
      <c r="J88" s="1">
        <v>46070</v>
      </c>
      <c r="K88" t="s">
        <v>15</v>
      </c>
    </row>
    <row r="89" spans="1:11" x14ac:dyDescent="0.3">
      <c r="A89">
        <v>1369</v>
      </c>
      <c r="B89" t="s">
        <v>57</v>
      </c>
      <c r="C89" t="s">
        <v>25</v>
      </c>
      <c r="D89" t="s">
        <v>18</v>
      </c>
      <c r="E89" t="s">
        <v>19</v>
      </c>
      <c r="F89">
        <v>19</v>
      </c>
      <c r="G89">
        <v>5840</v>
      </c>
      <c r="H89">
        <v>5</v>
      </c>
      <c r="I89" s="1">
        <v>46062</v>
      </c>
      <c r="J89" s="1">
        <v>46067</v>
      </c>
      <c r="K89" t="s">
        <v>15</v>
      </c>
    </row>
    <row r="90" spans="1:11" x14ac:dyDescent="0.3">
      <c r="A90">
        <v>1010</v>
      </c>
      <c r="B90" t="s">
        <v>11</v>
      </c>
      <c r="C90" t="s">
        <v>17</v>
      </c>
      <c r="D90" t="s">
        <v>13</v>
      </c>
      <c r="E90" t="s">
        <v>36</v>
      </c>
      <c r="F90">
        <v>14</v>
      </c>
      <c r="G90">
        <v>470</v>
      </c>
      <c r="H90">
        <v>5</v>
      </c>
      <c r="I90" s="1">
        <v>46062</v>
      </c>
      <c r="J90" s="1">
        <v>46068</v>
      </c>
      <c r="K90" t="s">
        <v>15</v>
      </c>
    </row>
    <row r="91" spans="1:11" x14ac:dyDescent="0.3">
      <c r="A91">
        <v>1374</v>
      </c>
      <c r="B91" t="s">
        <v>57</v>
      </c>
      <c r="C91" t="s">
        <v>33</v>
      </c>
      <c r="D91" t="s">
        <v>34</v>
      </c>
      <c r="E91" t="s">
        <v>35</v>
      </c>
      <c r="F91">
        <v>12</v>
      </c>
      <c r="G91">
        <v>66052</v>
      </c>
      <c r="H91">
        <v>2</v>
      </c>
      <c r="I91" s="1">
        <v>46063</v>
      </c>
      <c r="J91" s="1">
        <v>46066</v>
      </c>
      <c r="K91" t="s">
        <v>51</v>
      </c>
    </row>
    <row r="92" spans="1:11" x14ac:dyDescent="0.3">
      <c r="A92">
        <v>1296</v>
      </c>
      <c r="B92" t="s">
        <v>26</v>
      </c>
      <c r="C92" t="s">
        <v>38</v>
      </c>
      <c r="D92" t="s">
        <v>13</v>
      </c>
      <c r="E92" t="s">
        <v>50</v>
      </c>
      <c r="F92">
        <v>6</v>
      </c>
      <c r="G92">
        <v>201</v>
      </c>
      <c r="H92">
        <v>0</v>
      </c>
      <c r="I92" s="1">
        <v>46063</v>
      </c>
      <c r="J92" s="1">
        <v>46072</v>
      </c>
      <c r="K92" t="s">
        <v>51</v>
      </c>
    </row>
    <row r="93" spans="1:11" x14ac:dyDescent="0.3">
      <c r="A93">
        <v>1142</v>
      </c>
      <c r="B93" t="s">
        <v>40</v>
      </c>
      <c r="C93" t="s">
        <v>25</v>
      </c>
      <c r="D93" t="s">
        <v>34</v>
      </c>
      <c r="E93" t="s">
        <v>60</v>
      </c>
      <c r="F93">
        <v>9</v>
      </c>
      <c r="G93">
        <v>59788</v>
      </c>
      <c r="H93">
        <v>7</v>
      </c>
      <c r="I93" s="1">
        <v>46064</v>
      </c>
      <c r="J93" s="1">
        <v>46071</v>
      </c>
      <c r="K93" t="s">
        <v>29</v>
      </c>
    </row>
    <row r="94" spans="1:11" x14ac:dyDescent="0.3">
      <c r="A94">
        <v>1053</v>
      </c>
      <c r="B94" t="s">
        <v>16</v>
      </c>
      <c r="C94" t="s">
        <v>33</v>
      </c>
      <c r="D94" t="s">
        <v>18</v>
      </c>
      <c r="E94" t="s">
        <v>28</v>
      </c>
      <c r="F94">
        <v>1</v>
      </c>
      <c r="G94">
        <v>9749</v>
      </c>
      <c r="H94">
        <v>15</v>
      </c>
      <c r="I94" s="1">
        <v>46064</v>
      </c>
      <c r="J94" s="1">
        <v>46070</v>
      </c>
      <c r="K94" t="s">
        <v>24</v>
      </c>
    </row>
    <row r="95" spans="1:11" x14ac:dyDescent="0.3">
      <c r="A95">
        <v>1089</v>
      </c>
      <c r="B95" t="s">
        <v>46</v>
      </c>
      <c r="C95" t="s">
        <v>12</v>
      </c>
      <c r="D95" t="s">
        <v>34</v>
      </c>
      <c r="E95" t="s">
        <v>35</v>
      </c>
      <c r="F95">
        <v>10</v>
      </c>
      <c r="G95">
        <v>17041</v>
      </c>
      <c r="H95">
        <v>2</v>
      </c>
      <c r="I95" s="1">
        <v>46066</v>
      </c>
      <c r="J95" s="1">
        <v>46071</v>
      </c>
      <c r="K95" t="s">
        <v>24</v>
      </c>
    </row>
    <row r="96" spans="1:11" x14ac:dyDescent="0.3">
      <c r="A96">
        <v>1174</v>
      </c>
      <c r="B96" t="s">
        <v>58</v>
      </c>
      <c r="C96" t="s">
        <v>38</v>
      </c>
      <c r="D96" t="s">
        <v>13</v>
      </c>
      <c r="E96" t="s">
        <v>14</v>
      </c>
      <c r="F96">
        <v>13</v>
      </c>
      <c r="G96">
        <v>155</v>
      </c>
      <c r="H96">
        <v>2</v>
      </c>
      <c r="I96" s="1">
        <v>46066</v>
      </c>
      <c r="J96" s="1">
        <v>46069</v>
      </c>
      <c r="K96" t="s">
        <v>24</v>
      </c>
    </row>
    <row r="97" spans="1:11" x14ac:dyDescent="0.3">
      <c r="A97">
        <v>1114</v>
      </c>
      <c r="B97" t="s">
        <v>16</v>
      </c>
      <c r="C97" t="s">
        <v>25</v>
      </c>
      <c r="D97" t="s">
        <v>13</v>
      </c>
      <c r="E97" t="s">
        <v>50</v>
      </c>
      <c r="F97">
        <v>13</v>
      </c>
      <c r="G97">
        <v>32</v>
      </c>
      <c r="H97">
        <v>15</v>
      </c>
      <c r="I97" s="1">
        <v>46066</v>
      </c>
      <c r="J97" s="1">
        <v>46069</v>
      </c>
      <c r="K97" t="s">
        <v>15</v>
      </c>
    </row>
    <row r="98" spans="1:11" x14ac:dyDescent="0.3">
      <c r="A98">
        <v>1057</v>
      </c>
      <c r="B98" t="s">
        <v>59</v>
      </c>
      <c r="C98" t="s">
        <v>22</v>
      </c>
      <c r="D98" t="s">
        <v>18</v>
      </c>
      <c r="E98" t="s">
        <v>28</v>
      </c>
      <c r="F98">
        <v>2</v>
      </c>
      <c r="G98">
        <v>9531</v>
      </c>
      <c r="H98">
        <v>15</v>
      </c>
      <c r="I98" s="1">
        <v>46067</v>
      </c>
      <c r="J98" s="1">
        <v>46076</v>
      </c>
      <c r="K98" t="s">
        <v>51</v>
      </c>
    </row>
    <row r="99" spans="1:11" x14ac:dyDescent="0.3">
      <c r="A99">
        <v>1088</v>
      </c>
      <c r="B99" t="s">
        <v>40</v>
      </c>
      <c r="C99" t="s">
        <v>33</v>
      </c>
      <c r="D99" t="s">
        <v>34</v>
      </c>
      <c r="E99" t="s">
        <v>41</v>
      </c>
      <c r="F99">
        <v>20</v>
      </c>
      <c r="G99">
        <v>41165</v>
      </c>
      <c r="H99">
        <v>0</v>
      </c>
      <c r="I99" s="1">
        <v>46068</v>
      </c>
      <c r="J99" s="1">
        <v>46069</v>
      </c>
      <c r="K99" t="s">
        <v>20</v>
      </c>
    </row>
    <row r="100" spans="1:11" x14ac:dyDescent="0.3">
      <c r="A100">
        <v>1243</v>
      </c>
      <c r="B100" t="s">
        <v>30</v>
      </c>
      <c r="C100" t="s">
        <v>31</v>
      </c>
      <c r="D100" t="s">
        <v>34</v>
      </c>
      <c r="E100" t="s">
        <v>41</v>
      </c>
      <c r="F100">
        <v>5</v>
      </c>
      <c r="G100">
        <v>11570</v>
      </c>
      <c r="H100">
        <v>15</v>
      </c>
      <c r="I100" s="1">
        <v>46069</v>
      </c>
      <c r="J100" s="1">
        <v>46077</v>
      </c>
      <c r="K100" t="s">
        <v>24</v>
      </c>
    </row>
    <row r="101" spans="1:11" x14ac:dyDescent="0.3">
      <c r="A101">
        <v>1153</v>
      </c>
      <c r="B101" t="s">
        <v>42</v>
      </c>
      <c r="C101" t="s">
        <v>25</v>
      </c>
      <c r="D101" t="s">
        <v>18</v>
      </c>
      <c r="E101" t="s">
        <v>23</v>
      </c>
      <c r="F101">
        <v>19</v>
      </c>
      <c r="G101">
        <v>10273</v>
      </c>
      <c r="H101">
        <v>12</v>
      </c>
      <c r="I101" s="1">
        <v>46069</v>
      </c>
      <c r="J101" s="1">
        <v>46072</v>
      </c>
      <c r="K101" t="s">
        <v>29</v>
      </c>
    </row>
    <row r="102" spans="1:11" x14ac:dyDescent="0.3">
      <c r="A102">
        <v>1365</v>
      </c>
      <c r="B102" t="s">
        <v>46</v>
      </c>
      <c r="C102" t="s">
        <v>33</v>
      </c>
      <c r="D102" t="s">
        <v>13</v>
      </c>
      <c r="E102" t="s">
        <v>50</v>
      </c>
      <c r="F102">
        <v>17</v>
      </c>
      <c r="G102">
        <v>119</v>
      </c>
      <c r="H102">
        <v>7</v>
      </c>
      <c r="I102" s="1">
        <v>46070</v>
      </c>
      <c r="J102" s="1">
        <v>46072</v>
      </c>
      <c r="K102" t="s">
        <v>20</v>
      </c>
    </row>
    <row r="103" spans="1:11" x14ac:dyDescent="0.3">
      <c r="A103">
        <v>1036</v>
      </c>
      <c r="B103" t="s">
        <v>11</v>
      </c>
      <c r="C103" t="s">
        <v>25</v>
      </c>
      <c r="D103" t="s">
        <v>13</v>
      </c>
      <c r="E103" t="s">
        <v>36</v>
      </c>
      <c r="F103">
        <v>20</v>
      </c>
      <c r="G103">
        <v>161</v>
      </c>
      <c r="H103">
        <v>7</v>
      </c>
      <c r="I103" s="1">
        <v>46071</v>
      </c>
      <c r="J103" s="1">
        <v>46077</v>
      </c>
      <c r="K103" t="s">
        <v>24</v>
      </c>
    </row>
    <row r="104" spans="1:11" x14ac:dyDescent="0.3">
      <c r="A104">
        <v>1371</v>
      </c>
      <c r="B104" t="s">
        <v>48</v>
      </c>
      <c r="C104" t="s">
        <v>38</v>
      </c>
      <c r="D104" t="s">
        <v>18</v>
      </c>
      <c r="E104" t="s">
        <v>19</v>
      </c>
      <c r="F104">
        <v>19</v>
      </c>
      <c r="G104">
        <v>1087</v>
      </c>
      <c r="H104">
        <v>15</v>
      </c>
      <c r="I104" s="1">
        <v>46072</v>
      </c>
      <c r="J104" s="1">
        <v>46082</v>
      </c>
      <c r="K104" t="s">
        <v>20</v>
      </c>
    </row>
    <row r="105" spans="1:11" x14ac:dyDescent="0.3">
      <c r="A105">
        <v>1323</v>
      </c>
      <c r="B105" t="s">
        <v>57</v>
      </c>
      <c r="C105" t="s">
        <v>38</v>
      </c>
      <c r="D105" t="s">
        <v>34</v>
      </c>
      <c r="E105" t="s">
        <v>61</v>
      </c>
      <c r="F105">
        <v>2</v>
      </c>
      <c r="G105">
        <v>32074</v>
      </c>
      <c r="H105">
        <v>10</v>
      </c>
      <c r="I105" s="1">
        <v>46073</v>
      </c>
      <c r="J105" s="1">
        <v>46078</v>
      </c>
      <c r="K105" t="s">
        <v>15</v>
      </c>
    </row>
    <row r="106" spans="1:11" x14ac:dyDescent="0.3">
      <c r="A106">
        <v>1253</v>
      </c>
      <c r="B106" t="s">
        <v>21</v>
      </c>
      <c r="C106" t="s">
        <v>31</v>
      </c>
      <c r="D106" t="s">
        <v>34</v>
      </c>
      <c r="E106" t="s">
        <v>45</v>
      </c>
      <c r="F106">
        <v>20</v>
      </c>
      <c r="G106">
        <v>47880</v>
      </c>
      <c r="H106">
        <v>7</v>
      </c>
      <c r="I106" s="1">
        <v>46074</v>
      </c>
      <c r="J106" s="1">
        <v>46075</v>
      </c>
      <c r="K106" t="s">
        <v>29</v>
      </c>
    </row>
    <row r="107" spans="1:11" x14ac:dyDescent="0.3">
      <c r="A107">
        <v>1384</v>
      </c>
      <c r="B107" t="s">
        <v>59</v>
      </c>
      <c r="C107" t="s">
        <v>12</v>
      </c>
      <c r="D107" t="s">
        <v>34</v>
      </c>
      <c r="E107" t="s">
        <v>39</v>
      </c>
      <c r="F107">
        <v>15</v>
      </c>
      <c r="G107">
        <v>38116</v>
      </c>
      <c r="H107">
        <v>0</v>
      </c>
      <c r="I107" s="1">
        <v>46074</v>
      </c>
      <c r="J107" s="1">
        <v>46078</v>
      </c>
      <c r="K107" t="s">
        <v>29</v>
      </c>
    </row>
    <row r="108" spans="1:11" x14ac:dyDescent="0.3">
      <c r="A108">
        <v>1378</v>
      </c>
      <c r="B108" t="s">
        <v>55</v>
      </c>
      <c r="C108" t="s">
        <v>22</v>
      </c>
      <c r="D108" t="s">
        <v>34</v>
      </c>
      <c r="E108" t="s">
        <v>45</v>
      </c>
      <c r="F108">
        <v>15</v>
      </c>
      <c r="G108">
        <v>22693</v>
      </c>
      <c r="H108">
        <v>12</v>
      </c>
      <c r="I108" s="1">
        <v>46074</v>
      </c>
      <c r="J108" s="1">
        <v>46080</v>
      </c>
      <c r="K108" t="s">
        <v>51</v>
      </c>
    </row>
    <row r="109" spans="1:11" x14ac:dyDescent="0.3">
      <c r="A109">
        <v>1058</v>
      </c>
      <c r="B109" t="s">
        <v>52</v>
      </c>
      <c r="C109" t="s">
        <v>38</v>
      </c>
      <c r="D109" t="s">
        <v>18</v>
      </c>
      <c r="E109" t="s">
        <v>28</v>
      </c>
      <c r="F109">
        <v>10</v>
      </c>
      <c r="G109">
        <v>5532</v>
      </c>
      <c r="H109">
        <v>7</v>
      </c>
      <c r="I109" s="1">
        <v>46074</v>
      </c>
      <c r="J109" s="1">
        <v>46084</v>
      </c>
      <c r="K109" t="s">
        <v>24</v>
      </c>
    </row>
    <row r="110" spans="1:11" x14ac:dyDescent="0.3">
      <c r="A110">
        <v>1337</v>
      </c>
      <c r="B110" t="s">
        <v>16</v>
      </c>
      <c r="C110" t="s">
        <v>12</v>
      </c>
      <c r="D110" t="s">
        <v>13</v>
      </c>
      <c r="E110" t="s">
        <v>53</v>
      </c>
      <c r="F110">
        <v>14</v>
      </c>
      <c r="G110">
        <v>373</v>
      </c>
      <c r="H110">
        <v>10</v>
      </c>
      <c r="I110" s="1">
        <v>46074</v>
      </c>
      <c r="J110" s="1">
        <v>46080</v>
      </c>
      <c r="K110" t="s">
        <v>29</v>
      </c>
    </row>
    <row r="111" spans="1:11" x14ac:dyDescent="0.3">
      <c r="A111">
        <v>1201</v>
      </c>
      <c r="B111" t="s">
        <v>54</v>
      </c>
      <c r="C111" t="s">
        <v>31</v>
      </c>
      <c r="D111" t="s">
        <v>13</v>
      </c>
      <c r="E111" t="s">
        <v>53</v>
      </c>
      <c r="F111">
        <v>18</v>
      </c>
      <c r="G111">
        <v>139</v>
      </c>
      <c r="H111">
        <v>12</v>
      </c>
      <c r="I111" s="1">
        <v>46075</v>
      </c>
      <c r="J111" s="1">
        <v>46076</v>
      </c>
      <c r="K111" t="s">
        <v>20</v>
      </c>
    </row>
    <row r="112" spans="1:11" x14ac:dyDescent="0.3">
      <c r="A112">
        <v>1082</v>
      </c>
      <c r="B112" t="s">
        <v>21</v>
      </c>
      <c r="C112" t="s">
        <v>12</v>
      </c>
      <c r="D112" t="s">
        <v>13</v>
      </c>
      <c r="E112" t="s">
        <v>14</v>
      </c>
      <c r="F112">
        <v>7</v>
      </c>
      <c r="G112">
        <v>133</v>
      </c>
      <c r="H112">
        <v>10</v>
      </c>
      <c r="I112" s="1">
        <v>46075</v>
      </c>
      <c r="J112" s="1">
        <v>46085</v>
      </c>
      <c r="K112" t="s">
        <v>51</v>
      </c>
    </row>
    <row r="113" spans="1:11" x14ac:dyDescent="0.3">
      <c r="A113">
        <v>1325</v>
      </c>
      <c r="B113" t="s">
        <v>48</v>
      </c>
      <c r="C113" t="s">
        <v>43</v>
      </c>
      <c r="D113" t="s">
        <v>34</v>
      </c>
      <c r="E113" t="s">
        <v>39</v>
      </c>
      <c r="F113">
        <v>9</v>
      </c>
      <c r="G113">
        <v>58442</v>
      </c>
      <c r="H113">
        <v>12</v>
      </c>
      <c r="I113" s="1">
        <v>46076</v>
      </c>
      <c r="J113" s="1">
        <v>46085</v>
      </c>
      <c r="K113" t="s">
        <v>20</v>
      </c>
    </row>
    <row r="114" spans="1:11" x14ac:dyDescent="0.3">
      <c r="A114">
        <v>1107</v>
      </c>
      <c r="B114" t="s">
        <v>52</v>
      </c>
      <c r="C114" t="s">
        <v>17</v>
      </c>
      <c r="D114" t="s">
        <v>34</v>
      </c>
      <c r="E114" t="s">
        <v>60</v>
      </c>
      <c r="F114">
        <v>4</v>
      </c>
      <c r="G114">
        <v>14291</v>
      </c>
      <c r="H114">
        <v>2</v>
      </c>
      <c r="I114" s="1">
        <v>46076</v>
      </c>
      <c r="J114" s="1">
        <v>46078</v>
      </c>
      <c r="K114" t="s">
        <v>15</v>
      </c>
    </row>
    <row r="115" spans="1:11" x14ac:dyDescent="0.3">
      <c r="A115">
        <v>1390</v>
      </c>
      <c r="B115" t="s">
        <v>58</v>
      </c>
      <c r="C115" t="s">
        <v>43</v>
      </c>
      <c r="D115" t="s">
        <v>18</v>
      </c>
      <c r="E115" t="s">
        <v>19</v>
      </c>
      <c r="F115">
        <v>9</v>
      </c>
      <c r="G115">
        <v>7670</v>
      </c>
      <c r="H115">
        <v>0</v>
      </c>
      <c r="I115" s="1">
        <v>46076</v>
      </c>
      <c r="J115" s="1">
        <v>46081</v>
      </c>
      <c r="K115" t="s">
        <v>51</v>
      </c>
    </row>
    <row r="116" spans="1:11" x14ac:dyDescent="0.3">
      <c r="A116">
        <v>1113</v>
      </c>
      <c r="B116" t="s">
        <v>26</v>
      </c>
      <c r="C116" t="s">
        <v>43</v>
      </c>
      <c r="D116" t="s">
        <v>18</v>
      </c>
      <c r="E116" t="s">
        <v>56</v>
      </c>
      <c r="F116">
        <v>13</v>
      </c>
      <c r="G116">
        <v>6719</v>
      </c>
      <c r="H116">
        <v>15</v>
      </c>
      <c r="I116" s="1">
        <v>46076</v>
      </c>
      <c r="J116" s="1">
        <v>46081</v>
      </c>
      <c r="K116" t="s">
        <v>24</v>
      </c>
    </row>
    <row r="117" spans="1:11" x14ac:dyDescent="0.3">
      <c r="A117">
        <v>1070</v>
      </c>
      <c r="B117" t="s">
        <v>52</v>
      </c>
      <c r="C117" t="s">
        <v>43</v>
      </c>
      <c r="D117" t="s">
        <v>13</v>
      </c>
      <c r="E117" t="s">
        <v>36</v>
      </c>
      <c r="F117">
        <v>10</v>
      </c>
      <c r="G117">
        <v>233</v>
      </c>
      <c r="H117">
        <v>7</v>
      </c>
      <c r="I117" s="1">
        <v>46076</v>
      </c>
      <c r="J117" s="1">
        <v>46077</v>
      </c>
      <c r="K117" t="s">
        <v>29</v>
      </c>
    </row>
    <row r="118" spans="1:11" x14ac:dyDescent="0.3">
      <c r="A118">
        <v>1157</v>
      </c>
      <c r="B118" t="s">
        <v>52</v>
      </c>
      <c r="C118" t="s">
        <v>33</v>
      </c>
      <c r="D118" t="s">
        <v>13</v>
      </c>
      <c r="E118" t="s">
        <v>50</v>
      </c>
      <c r="F118">
        <v>3</v>
      </c>
      <c r="G118">
        <v>203</v>
      </c>
      <c r="H118">
        <v>15</v>
      </c>
      <c r="I118" s="1">
        <v>46076</v>
      </c>
      <c r="J118" s="1">
        <v>46080</v>
      </c>
      <c r="K118" t="s">
        <v>29</v>
      </c>
    </row>
    <row r="119" spans="1:11" x14ac:dyDescent="0.3">
      <c r="A119">
        <v>1110</v>
      </c>
      <c r="B119" t="s">
        <v>49</v>
      </c>
      <c r="C119" t="s">
        <v>38</v>
      </c>
      <c r="D119" t="s">
        <v>18</v>
      </c>
      <c r="E119" t="s">
        <v>23</v>
      </c>
      <c r="F119">
        <v>14</v>
      </c>
      <c r="G119">
        <v>6793</v>
      </c>
      <c r="H119">
        <v>7</v>
      </c>
      <c r="I119" s="1">
        <v>46077</v>
      </c>
      <c r="J119" s="1">
        <v>46082</v>
      </c>
      <c r="K119" t="s">
        <v>29</v>
      </c>
    </row>
    <row r="120" spans="1:11" x14ac:dyDescent="0.3">
      <c r="A120">
        <v>1223</v>
      </c>
      <c r="B120" t="s">
        <v>59</v>
      </c>
      <c r="C120" t="s">
        <v>17</v>
      </c>
      <c r="D120" t="s">
        <v>18</v>
      </c>
      <c r="E120" t="s">
        <v>23</v>
      </c>
      <c r="F120">
        <v>4</v>
      </c>
      <c r="G120">
        <v>2249</v>
      </c>
      <c r="H120">
        <v>7</v>
      </c>
      <c r="I120" s="1">
        <v>46077</v>
      </c>
      <c r="J120" s="1">
        <v>46084</v>
      </c>
      <c r="K120" t="s">
        <v>15</v>
      </c>
    </row>
    <row r="121" spans="1:11" x14ac:dyDescent="0.3">
      <c r="A121">
        <v>1055</v>
      </c>
      <c r="B121" t="s">
        <v>48</v>
      </c>
      <c r="C121" t="s">
        <v>12</v>
      </c>
      <c r="D121" t="s">
        <v>13</v>
      </c>
      <c r="E121" t="s">
        <v>37</v>
      </c>
      <c r="F121">
        <v>18</v>
      </c>
      <c r="G121">
        <v>185</v>
      </c>
      <c r="H121">
        <v>15</v>
      </c>
      <c r="I121" s="1">
        <v>46077</v>
      </c>
      <c r="J121" s="1">
        <v>46078</v>
      </c>
      <c r="K121" t="s">
        <v>15</v>
      </c>
    </row>
    <row r="122" spans="1:11" x14ac:dyDescent="0.3">
      <c r="A122">
        <v>1272</v>
      </c>
      <c r="B122" t="s">
        <v>52</v>
      </c>
      <c r="C122" t="s">
        <v>38</v>
      </c>
      <c r="D122" t="s">
        <v>34</v>
      </c>
      <c r="E122" t="s">
        <v>41</v>
      </c>
      <c r="F122">
        <v>13</v>
      </c>
      <c r="G122">
        <v>42179</v>
      </c>
      <c r="H122">
        <v>0</v>
      </c>
      <c r="I122" s="1">
        <v>46078</v>
      </c>
      <c r="J122" s="1">
        <v>46084</v>
      </c>
      <c r="K122" t="s">
        <v>20</v>
      </c>
    </row>
    <row r="123" spans="1:11" x14ac:dyDescent="0.3">
      <c r="A123">
        <v>1316</v>
      </c>
      <c r="B123" t="s">
        <v>46</v>
      </c>
      <c r="C123" t="s">
        <v>12</v>
      </c>
      <c r="D123" t="s">
        <v>18</v>
      </c>
      <c r="E123" t="s">
        <v>28</v>
      </c>
      <c r="F123">
        <v>7</v>
      </c>
      <c r="G123">
        <v>9838</v>
      </c>
      <c r="H123">
        <v>7</v>
      </c>
      <c r="I123" s="1">
        <v>46078</v>
      </c>
      <c r="J123" s="1">
        <v>46085</v>
      </c>
      <c r="K123" t="s">
        <v>20</v>
      </c>
    </row>
    <row r="124" spans="1:11" x14ac:dyDescent="0.3">
      <c r="A124">
        <v>1020</v>
      </c>
      <c r="B124" t="s">
        <v>46</v>
      </c>
      <c r="C124" t="s">
        <v>12</v>
      </c>
      <c r="D124" t="s">
        <v>18</v>
      </c>
      <c r="E124" t="s">
        <v>19</v>
      </c>
      <c r="F124">
        <v>5</v>
      </c>
      <c r="G124">
        <v>4582</v>
      </c>
      <c r="H124">
        <v>5</v>
      </c>
      <c r="I124" s="1">
        <v>46078</v>
      </c>
      <c r="J124" s="1">
        <v>46083</v>
      </c>
      <c r="K124" t="s">
        <v>15</v>
      </c>
    </row>
    <row r="125" spans="1:11" x14ac:dyDescent="0.3">
      <c r="A125">
        <v>1349</v>
      </c>
      <c r="B125" t="s">
        <v>40</v>
      </c>
      <c r="C125" t="s">
        <v>33</v>
      </c>
      <c r="D125" t="s">
        <v>34</v>
      </c>
      <c r="E125" t="s">
        <v>35</v>
      </c>
      <c r="F125">
        <v>20</v>
      </c>
      <c r="G125">
        <v>62721</v>
      </c>
      <c r="H125">
        <v>7</v>
      </c>
      <c r="I125" s="1">
        <v>46079</v>
      </c>
      <c r="J125" s="1">
        <v>46083</v>
      </c>
      <c r="K125" t="s">
        <v>20</v>
      </c>
    </row>
    <row r="126" spans="1:11" x14ac:dyDescent="0.3">
      <c r="A126">
        <v>1158</v>
      </c>
      <c r="B126" t="s">
        <v>26</v>
      </c>
      <c r="C126" t="s">
        <v>38</v>
      </c>
      <c r="D126" t="s">
        <v>34</v>
      </c>
      <c r="E126" t="s">
        <v>41</v>
      </c>
      <c r="F126">
        <v>13</v>
      </c>
      <c r="G126">
        <v>12518</v>
      </c>
      <c r="H126">
        <v>2</v>
      </c>
      <c r="I126" s="1">
        <v>46079</v>
      </c>
      <c r="J126" s="1">
        <v>46082</v>
      </c>
      <c r="K126" t="s">
        <v>51</v>
      </c>
    </row>
    <row r="127" spans="1:11" x14ac:dyDescent="0.3">
      <c r="A127">
        <v>1163</v>
      </c>
      <c r="B127" t="s">
        <v>29</v>
      </c>
      <c r="C127" t="s">
        <v>38</v>
      </c>
      <c r="D127" t="s">
        <v>34</v>
      </c>
      <c r="E127" t="s">
        <v>39</v>
      </c>
      <c r="F127">
        <v>9</v>
      </c>
      <c r="G127">
        <v>62440</v>
      </c>
      <c r="H127">
        <v>2</v>
      </c>
      <c r="I127" s="1">
        <v>46081</v>
      </c>
      <c r="J127" s="1">
        <v>46086</v>
      </c>
      <c r="K127" t="s">
        <v>29</v>
      </c>
    </row>
    <row r="128" spans="1:11" x14ac:dyDescent="0.3">
      <c r="A128">
        <v>1042</v>
      </c>
      <c r="B128" t="s">
        <v>46</v>
      </c>
      <c r="C128" t="s">
        <v>33</v>
      </c>
      <c r="D128" t="s">
        <v>13</v>
      </c>
      <c r="E128" t="s">
        <v>53</v>
      </c>
      <c r="F128">
        <v>16</v>
      </c>
      <c r="G128">
        <v>232</v>
      </c>
      <c r="H128">
        <v>0</v>
      </c>
      <c r="I128" s="1">
        <v>46081</v>
      </c>
      <c r="J128" s="1">
        <v>46088</v>
      </c>
      <c r="K128" t="s">
        <v>29</v>
      </c>
    </row>
    <row r="129" spans="1:11" x14ac:dyDescent="0.3">
      <c r="A129">
        <v>1001</v>
      </c>
      <c r="B129" t="s">
        <v>11</v>
      </c>
      <c r="C129" t="s">
        <v>12</v>
      </c>
      <c r="D129" t="s">
        <v>13</v>
      </c>
      <c r="E129" t="s">
        <v>14</v>
      </c>
      <c r="F129">
        <v>3</v>
      </c>
      <c r="G129">
        <v>222</v>
      </c>
      <c r="H129">
        <v>15</v>
      </c>
      <c r="I129" s="1">
        <v>46081</v>
      </c>
      <c r="J129" s="1">
        <v>46083</v>
      </c>
      <c r="K129" t="s">
        <v>15</v>
      </c>
    </row>
    <row r="130" spans="1:11" x14ac:dyDescent="0.3">
      <c r="A130">
        <v>1202</v>
      </c>
      <c r="B130" t="s">
        <v>57</v>
      </c>
      <c r="C130" t="s">
        <v>22</v>
      </c>
      <c r="D130" t="s">
        <v>34</v>
      </c>
      <c r="E130" t="s">
        <v>35</v>
      </c>
      <c r="F130">
        <v>2</v>
      </c>
      <c r="G130">
        <v>20312</v>
      </c>
      <c r="H130">
        <v>12</v>
      </c>
      <c r="I130" s="1">
        <v>46082</v>
      </c>
      <c r="J130" s="1">
        <v>46091</v>
      </c>
      <c r="K130" t="s">
        <v>15</v>
      </c>
    </row>
    <row r="131" spans="1:11" x14ac:dyDescent="0.3">
      <c r="A131">
        <v>1066</v>
      </c>
      <c r="B131" t="s">
        <v>47</v>
      </c>
      <c r="C131" t="s">
        <v>25</v>
      </c>
      <c r="D131" t="s">
        <v>18</v>
      </c>
      <c r="E131" t="s">
        <v>44</v>
      </c>
      <c r="F131">
        <v>15</v>
      </c>
      <c r="G131">
        <v>11987</v>
      </c>
      <c r="H131">
        <v>5</v>
      </c>
      <c r="I131" s="1">
        <v>46082</v>
      </c>
      <c r="J131" s="1">
        <v>46083</v>
      </c>
      <c r="K131" t="s">
        <v>15</v>
      </c>
    </row>
    <row r="132" spans="1:11" x14ac:dyDescent="0.3">
      <c r="A132">
        <v>1033</v>
      </c>
      <c r="B132" t="s">
        <v>11</v>
      </c>
      <c r="C132" t="s">
        <v>43</v>
      </c>
      <c r="D132" t="s">
        <v>18</v>
      </c>
      <c r="E132" t="s">
        <v>19</v>
      </c>
      <c r="F132">
        <v>9</v>
      </c>
      <c r="G132">
        <v>4895</v>
      </c>
      <c r="H132">
        <v>2</v>
      </c>
      <c r="I132" s="1">
        <v>46082</v>
      </c>
      <c r="J132" s="1">
        <v>46084</v>
      </c>
      <c r="K132" t="s">
        <v>29</v>
      </c>
    </row>
    <row r="133" spans="1:11" x14ac:dyDescent="0.3">
      <c r="A133">
        <v>1284</v>
      </c>
      <c r="B133" t="s">
        <v>40</v>
      </c>
      <c r="C133" t="s">
        <v>25</v>
      </c>
      <c r="D133" t="s">
        <v>13</v>
      </c>
      <c r="E133" t="s">
        <v>37</v>
      </c>
      <c r="F133">
        <v>16</v>
      </c>
      <c r="G133">
        <v>419</v>
      </c>
      <c r="H133">
        <v>2</v>
      </c>
      <c r="I133" s="1">
        <v>46082</v>
      </c>
      <c r="J133" s="1">
        <v>46090</v>
      </c>
      <c r="K133" t="s">
        <v>15</v>
      </c>
    </row>
    <row r="134" spans="1:11" x14ac:dyDescent="0.3">
      <c r="A134">
        <v>1017</v>
      </c>
      <c r="B134" t="s">
        <v>46</v>
      </c>
      <c r="C134" t="s">
        <v>38</v>
      </c>
      <c r="D134" t="s">
        <v>13</v>
      </c>
      <c r="E134" t="s">
        <v>36</v>
      </c>
      <c r="F134">
        <v>8</v>
      </c>
      <c r="G134">
        <v>179</v>
      </c>
      <c r="H134">
        <v>15</v>
      </c>
      <c r="I134" s="1">
        <v>46082</v>
      </c>
      <c r="J134" s="1">
        <v>46084</v>
      </c>
      <c r="K134" t="s">
        <v>15</v>
      </c>
    </row>
    <row r="135" spans="1:11" x14ac:dyDescent="0.3">
      <c r="A135">
        <v>1271</v>
      </c>
      <c r="B135" t="s">
        <v>40</v>
      </c>
      <c r="C135" t="s">
        <v>33</v>
      </c>
      <c r="D135" t="s">
        <v>34</v>
      </c>
      <c r="E135" t="s">
        <v>60</v>
      </c>
      <c r="F135">
        <v>20</v>
      </c>
      <c r="G135">
        <v>36941</v>
      </c>
      <c r="H135">
        <v>15</v>
      </c>
      <c r="I135" s="1">
        <v>46083</v>
      </c>
      <c r="J135" s="1">
        <v>46085</v>
      </c>
      <c r="K135" t="s">
        <v>29</v>
      </c>
    </row>
    <row r="136" spans="1:11" x14ac:dyDescent="0.3">
      <c r="A136">
        <v>1298</v>
      </c>
      <c r="B136" t="s">
        <v>21</v>
      </c>
      <c r="C136" t="s">
        <v>12</v>
      </c>
      <c r="D136" t="s">
        <v>34</v>
      </c>
      <c r="E136" t="s">
        <v>61</v>
      </c>
      <c r="F136">
        <v>19</v>
      </c>
      <c r="G136">
        <v>20745</v>
      </c>
      <c r="H136">
        <v>2</v>
      </c>
      <c r="I136" s="1">
        <v>46083</v>
      </c>
      <c r="J136" s="1">
        <v>46093</v>
      </c>
      <c r="K136" t="s">
        <v>24</v>
      </c>
    </row>
    <row r="137" spans="1:11" x14ac:dyDescent="0.3">
      <c r="A137">
        <v>1078</v>
      </c>
      <c r="B137" t="s">
        <v>52</v>
      </c>
      <c r="C137" t="s">
        <v>17</v>
      </c>
      <c r="D137" t="s">
        <v>34</v>
      </c>
      <c r="E137" t="s">
        <v>39</v>
      </c>
      <c r="F137">
        <v>11</v>
      </c>
      <c r="G137">
        <v>24278</v>
      </c>
      <c r="H137">
        <v>12</v>
      </c>
      <c r="I137" s="1">
        <v>46084</v>
      </c>
      <c r="J137" s="1">
        <v>46090</v>
      </c>
      <c r="K137" t="s">
        <v>29</v>
      </c>
    </row>
    <row r="138" spans="1:11" x14ac:dyDescent="0.3">
      <c r="A138">
        <v>1138</v>
      </c>
      <c r="B138" t="s">
        <v>55</v>
      </c>
      <c r="C138" t="s">
        <v>43</v>
      </c>
      <c r="D138" t="s">
        <v>18</v>
      </c>
      <c r="E138" t="s">
        <v>19</v>
      </c>
      <c r="F138">
        <v>5</v>
      </c>
      <c r="G138">
        <v>14466</v>
      </c>
      <c r="H138">
        <v>2</v>
      </c>
      <c r="I138" s="1">
        <v>46084</v>
      </c>
      <c r="J138" s="1">
        <v>46092</v>
      </c>
      <c r="K138" t="s">
        <v>51</v>
      </c>
    </row>
    <row r="139" spans="1:11" x14ac:dyDescent="0.3">
      <c r="A139">
        <v>1280</v>
      </c>
      <c r="B139" t="s">
        <v>59</v>
      </c>
      <c r="C139" t="s">
        <v>38</v>
      </c>
      <c r="D139" t="s">
        <v>13</v>
      </c>
      <c r="E139" t="s">
        <v>53</v>
      </c>
      <c r="F139">
        <v>9</v>
      </c>
      <c r="G139">
        <v>50</v>
      </c>
      <c r="H139">
        <v>7</v>
      </c>
      <c r="I139" s="1">
        <v>46085</v>
      </c>
      <c r="J139" s="1">
        <v>46095</v>
      </c>
      <c r="K139" t="s">
        <v>51</v>
      </c>
    </row>
    <row r="140" spans="1:11" x14ac:dyDescent="0.3">
      <c r="A140">
        <v>1012</v>
      </c>
      <c r="B140" t="s">
        <v>26</v>
      </c>
      <c r="C140" t="s">
        <v>38</v>
      </c>
      <c r="D140" t="s">
        <v>34</v>
      </c>
      <c r="E140" t="s">
        <v>39</v>
      </c>
      <c r="F140">
        <v>3</v>
      </c>
      <c r="G140">
        <v>64615</v>
      </c>
      <c r="H140">
        <v>10</v>
      </c>
      <c r="I140" s="1">
        <v>46086</v>
      </c>
      <c r="J140" s="1">
        <v>46095</v>
      </c>
      <c r="K140" t="s">
        <v>29</v>
      </c>
    </row>
    <row r="141" spans="1:11" x14ac:dyDescent="0.3">
      <c r="A141">
        <v>1336</v>
      </c>
      <c r="B141" t="s">
        <v>16</v>
      </c>
      <c r="C141" t="s">
        <v>25</v>
      </c>
      <c r="D141" t="s">
        <v>18</v>
      </c>
      <c r="E141" t="s">
        <v>56</v>
      </c>
      <c r="F141">
        <v>10</v>
      </c>
      <c r="G141">
        <v>5624</v>
      </c>
      <c r="H141">
        <v>0</v>
      </c>
      <c r="I141" s="1">
        <v>46086</v>
      </c>
      <c r="J141" s="1">
        <v>46092</v>
      </c>
      <c r="K141" t="s">
        <v>29</v>
      </c>
    </row>
    <row r="142" spans="1:11" x14ac:dyDescent="0.3">
      <c r="A142">
        <v>1277</v>
      </c>
      <c r="B142" t="s">
        <v>59</v>
      </c>
      <c r="C142" t="s">
        <v>17</v>
      </c>
      <c r="D142" t="s">
        <v>13</v>
      </c>
      <c r="E142" t="s">
        <v>36</v>
      </c>
      <c r="F142">
        <v>14</v>
      </c>
      <c r="G142">
        <v>276</v>
      </c>
      <c r="H142">
        <v>0</v>
      </c>
      <c r="I142" s="1">
        <v>46086</v>
      </c>
      <c r="J142" s="1">
        <v>46089</v>
      </c>
      <c r="K142" t="s">
        <v>15</v>
      </c>
    </row>
    <row r="143" spans="1:11" x14ac:dyDescent="0.3">
      <c r="A143">
        <v>1090</v>
      </c>
      <c r="B143" t="s">
        <v>49</v>
      </c>
      <c r="C143" t="s">
        <v>31</v>
      </c>
      <c r="D143" t="s">
        <v>34</v>
      </c>
      <c r="E143" t="s">
        <v>45</v>
      </c>
      <c r="F143">
        <v>19</v>
      </c>
      <c r="G143">
        <v>66139</v>
      </c>
      <c r="H143">
        <v>5</v>
      </c>
      <c r="I143" s="1">
        <v>46088</v>
      </c>
      <c r="J143" s="1">
        <v>46095</v>
      </c>
      <c r="K143" t="s">
        <v>24</v>
      </c>
    </row>
    <row r="144" spans="1:11" x14ac:dyDescent="0.3">
      <c r="A144">
        <v>1175</v>
      </c>
      <c r="B144" t="s">
        <v>26</v>
      </c>
      <c r="C144" t="s">
        <v>17</v>
      </c>
      <c r="D144" t="s">
        <v>34</v>
      </c>
      <c r="E144" t="s">
        <v>41</v>
      </c>
      <c r="F144">
        <v>10</v>
      </c>
      <c r="G144">
        <v>20339</v>
      </c>
      <c r="H144">
        <v>2</v>
      </c>
      <c r="I144" s="1">
        <v>46088</v>
      </c>
      <c r="J144" s="1">
        <v>46094</v>
      </c>
      <c r="K144" t="s">
        <v>20</v>
      </c>
    </row>
    <row r="145" spans="1:11" x14ac:dyDescent="0.3">
      <c r="A145">
        <v>1097</v>
      </c>
      <c r="B145" t="s">
        <v>52</v>
      </c>
      <c r="C145" t="s">
        <v>22</v>
      </c>
      <c r="D145" t="s">
        <v>34</v>
      </c>
      <c r="E145" t="s">
        <v>61</v>
      </c>
      <c r="F145">
        <v>10</v>
      </c>
      <c r="G145">
        <v>28980</v>
      </c>
      <c r="H145">
        <v>10</v>
      </c>
      <c r="I145" s="1">
        <v>46089</v>
      </c>
      <c r="J145" s="1">
        <v>46094</v>
      </c>
      <c r="K145" t="s">
        <v>24</v>
      </c>
    </row>
    <row r="146" spans="1:11" x14ac:dyDescent="0.3">
      <c r="A146">
        <v>1381</v>
      </c>
      <c r="B146" t="s">
        <v>55</v>
      </c>
      <c r="C146" t="s">
        <v>33</v>
      </c>
      <c r="D146" t="s">
        <v>18</v>
      </c>
      <c r="E146" t="s">
        <v>28</v>
      </c>
      <c r="F146">
        <v>5</v>
      </c>
      <c r="G146">
        <v>7484</v>
      </c>
      <c r="H146">
        <v>2</v>
      </c>
      <c r="I146" s="1">
        <v>46089</v>
      </c>
      <c r="J146" s="1">
        <v>46093</v>
      </c>
      <c r="K146" t="s">
        <v>20</v>
      </c>
    </row>
    <row r="147" spans="1:11" x14ac:dyDescent="0.3">
      <c r="A147">
        <v>1018</v>
      </c>
      <c r="B147" t="s">
        <v>47</v>
      </c>
      <c r="C147" t="s">
        <v>25</v>
      </c>
      <c r="D147" t="s">
        <v>13</v>
      </c>
      <c r="E147" t="s">
        <v>14</v>
      </c>
      <c r="F147">
        <v>20</v>
      </c>
      <c r="G147">
        <v>301</v>
      </c>
      <c r="H147">
        <v>0</v>
      </c>
      <c r="I147" s="1">
        <v>46089</v>
      </c>
      <c r="J147" s="1">
        <v>46094</v>
      </c>
      <c r="K147" t="s">
        <v>29</v>
      </c>
    </row>
    <row r="148" spans="1:11" x14ac:dyDescent="0.3">
      <c r="A148">
        <v>1031</v>
      </c>
      <c r="B148" t="s">
        <v>54</v>
      </c>
      <c r="C148" t="s">
        <v>31</v>
      </c>
      <c r="D148" t="s">
        <v>13</v>
      </c>
      <c r="E148" t="s">
        <v>53</v>
      </c>
      <c r="F148">
        <v>2</v>
      </c>
      <c r="G148">
        <v>184</v>
      </c>
      <c r="H148">
        <v>5</v>
      </c>
      <c r="I148" s="1">
        <v>46089</v>
      </c>
      <c r="J148" s="1">
        <v>46093</v>
      </c>
      <c r="K148" t="s">
        <v>20</v>
      </c>
    </row>
    <row r="149" spans="1:11" x14ac:dyDescent="0.3">
      <c r="A149">
        <v>1399</v>
      </c>
      <c r="B149" t="s">
        <v>48</v>
      </c>
      <c r="C149" t="s">
        <v>31</v>
      </c>
      <c r="D149" t="s">
        <v>13</v>
      </c>
      <c r="E149" t="s">
        <v>14</v>
      </c>
      <c r="F149">
        <v>15</v>
      </c>
      <c r="G149">
        <v>87</v>
      </c>
      <c r="H149">
        <v>15</v>
      </c>
      <c r="I149" s="1">
        <v>46089</v>
      </c>
      <c r="J149" s="1">
        <v>46093</v>
      </c>
      <c r="K149" t="s">
        <v>20</v>
      </c>
    </row>
    <row r="150" spans="1:11" x14ac:dyDescent="0.3">
      <c r="A150">
        <v>1192</v>
      </c>
      <c r="B150" t="s">
        <v>21</v>
      </c>
      <c r="C150" t="s">
        <v>33</v>
      </c>
      <c r="D150" t="s">
        <v>13</v>
      </c>
      <c r="E150" t="s">
        <v>53</v>
      </c>
      <c r="F150">
        <v>18</v>
      </c>
      <c r="G150">
        <v>49</v>
      </c>
      <c r="H150">
        <v>12</v>
      </c>
      <c r="I150" s="1">
        <v>46089</v>
      </c>
      <c r="J150" s="1">
        <v>46095</v>
      </c>
      <c r="K150" t="s">
        <v>24</v>
      </c>
    </row>
    <row r="151" spans="1:11" x14ac:dyDescent="0.3">
      <c r="A151">
        <v>1400</v>
      </c>
      <c r="B151" t="s">
        <v>40</v>
      </c>
      <c r="C151" t="s">
        <v>22</v>
      </c>
      <c r="D151" t="s">
        <v>34</v>
      </c>
      <c r="E151" t="s">
        <v>35</v>
      </c>
      <c r="F151">
        <v>13</v>
      </c>
      <c r="G151">
        <v>52411</v>
      </c>
      <c r="H151">
        <v>15</v>
      </c>
      <c r="I151" s="1">
        <v>46090</v>
      </c>
      <c r="J151" s="1">
        <v>46092</v>
      </c>
      <c r="K151" t="s">
        <v>20</v>
      </c>
    </row>
    <row r="152" spans="1:11" x14ac:dyDescent="0.3">
      <c r="A152">
        <v>1112</v>
      </c>
      <c r="B152" t="s">
        <v>21</v>
      </c>
      <c r="C152" t="s">
        <v>43</v>
      </c>
      <c r="D152" t="s">
        <v>18</v>
      </c>
      <c r="E152" t="s">
        <v>44</v>
      </c>
      <c r="F152">
        <v>7</v>
      </c>
      <c r="G152">
        <v>1959</v>
      </c>
      <c r="H152">
        <v>15</v>
      </c>
      <c r="I152" s="1">
        <v>46090</v>
      </c>
      <c r="J152" s="1">
        <v>46100</v>
      </c>
      <c r="K152" t="s">
        <v>15</v>
      </c>
    </row>
    <row r="153" spans="1:11" x14ac:dyDescent="0.3">
      <c r="A153">
        <v>1043</v>
      </c>
      <c r="B153" t="s">
        <v>49</v>
      </c>
      <c r="C153" t="s">
        <v>38</v>
      </c>
      <c r="D153" t="s">
        <v>34</v>
      </c>
      <c r="E153" t="s">
        <v>35</v>
      </c>
      <c r="F153">
        <v>20</v>
      </c>
      <c r="G153">
        <v>46093</v>
      </c>
      <c r="H153">
        <v>5</v>
      </c>
      <c r="I153" s="1">
        <v>46091</v>
      </c>
      <c r="J153" s="1">
        <v>46098</v>
      </c>
      <c r="K153" t="s">
        <v>29</v>
      </c>
    </row>
    <row r="154" spans="1:11" x14ac:dyDescent="0.3">
      <c r="A154">
        <v>1255</v>
      </c>
      <c r="B154" t="s">
        <v>32</v>
      </c>
      <c r="C154" t="s">
        <v>17</v>
      </c>
      <c r="D154" t="s">
        <v>18</v>
      </c>
      <c r="E154" t="s">
        <v>19</v>
      </c>
      <c r="F154">
        <v>1</v>
      </c>
      <c r="G154">
        <v>2240</v>
      </c>
      <c r="H154">
        <v>5</v>
      </c>
      <c r="I154" s="1">
        <v>46091</v>
      </c>
      <c r="J154" s="1">
        <v>46095</v>
      </c>
      <c r="K154" t="s">
        <v>20</v>
      </c>
    </row>
    <row r="155" spans="1:11" x14ac:dyDescent="0.3">
      <c r="A155">
        <v>1106</v>
      </c>
      <c r="B155" t="s">
        <v>27</v>
      </c>
      <c r="C155" t="s">
        <v>43</v>
      </c>
      <c r="D155" t="s">
        <v>18</v>
      </c>
      <c r="E155" t="s">
        <v>23</v>
      </c>
      <c r="F155">
        <v>20</v>
      </c>
      <c r="G155">
        <v>2141</v>
      </c>
      <c r="H155">
        <v>2</v>
      </c>
      <c r="I155" s="1">
        <v>46091</v>
      </c>
      <c r="J155" s="1">
        <v>46097</v>
      </c>
      <c r="K155" t="s">
        <v>29</v>
      </c>
    </row>
    <row r="156" spans="1:11" x14ac:dyDescent="0.3">
      <c r="A156">
        <v>1275</v>
      </c>
      <c r="B156" t="s">
        <v>16</v>
      </c>
      <c r="C156" t="s">
        <v>31</v>
      </c>
      <c r="D156" t="s">
        <v>13</v>
      </c>
      <c r="E156" t="s">
        <v>50</v>
      </c>
      <c r="F156">
        <v>20</v>
      </c>
      <c r="G156">
        <v>451</v>
      </c>
      <c r="H156">
        <v>15</v>
      </c>
      <c r="I156" s="1">
        <v>46092</v>
      </c>
      <c r="J156" s="1">
        <v>46094</v>
      </c>
      <c r="K156" t="s">
        <v>20</v>
      </c>
    </row>
    <row r="157" spans="1:11" x14ac:dyDescent="0.3">
      <c r="A157">
        <v>1166</v>
      </c>
      <c r="B157" t="s">
        <v>32</v>
      </c>
      <c r="C157" t="s">
        <v>31</v>
      </c>
      <c r="D157" t="s">
        <v>13</v>
      </c>
      <c r="E157" t="s">
        <v>37</v>
      </c>
      <c r="F157">
        <v>1</v>
      </c>
      <c r="G157">
        <v>396</v>
      </c>
      <c r="H157">
        <v>5</v>
      </c>
      <c r="I157" s="1">
        <v>46092</v>
      </c>
      <c r="J157" s="1">
        <v>46093</v>
      </c>
      <c r="K157" t="s">
        <v>20</v>
      </c>
    </row>
    <row r="158" spans="1:11" x14ac:dyDescent="0.3">
      <c r="A158">
        <v>1139</v>
      </c>
      <c r="B158" t="s">
        <v>55</v>
      </c>
      <c r="C158" t="s">
        <v>33</v>
      </c>
      <c r="D158" t="s">
        <v>34</v>
      </c>
      <c r="E158" t="s">
        <v>61</v>
      </c>
      <c r="F158">
        <v>17</v>
      </c>
      <c r="G158">
        <v>28839</v>
      </c>
      <c r="H158">
        <v>10</v>
      </c>
      <c r="I158" s="1">
        <v>46093</v>
      </c>
      <c r="J158" s="1">
        <v>46099</v>
      </c>
      <c r="K158" t="s">
        <v>15</v>
      </c>
    </row>
    <row r="159" spans="1:11" x14ac:dyDescent="0.3">
      <c r="A159">
        <v>1155</v>
      </c>
      <c r="B159" t="s">
        <v>11</v>
      </c>
      <c r="C159" t="s">
        <v>31</v>
      </c>
      <c r="D159" t="s">
        <v>18</v>
      </c>
      <c r="E159" t="s">
        <v>28</v>
      </c>
      <c r="F159">
        <v>13</v>
      </c>
      <c r="G159">
        <v>4341</v>
      </c>
      <c r="H159">
        <v>15</v>
      </c>
      <c r="I159" s="1">
        <v>46093</v>
      </c>
      <c r="J159" s="1">
        <v>46096</v>
      </c>
      <c r="K159" t="s">
        <v>24</v>
      </c>
    </row>
    <row r="160" spans="1:11" x14ac:dyDescent="0.3">
      <c r="A160">
        <v>1319</v>
      </c>
      <c r="B160" t="s">
        <v>21</v>
      </c>
      <c r="C160" t="s">
        <v>17</v>
      </c>
      <c r="D160" t="s">
        <v>34</v>
      </c>
      <c r="E160" t="s">
        <v>61</v>
      </c>
      <c r="F160">
        <v>17</v>
      </c>
      <c r="G160">
        <v>58407</v>
      </c>
      <c r="H160">
        <v>7</v>
      </c>
      <c r="I160" s="1">
        <v>46094</v>
      </c>
      <c r="J160" s="1">
        <v>46102</v>
      </c>
      <c r="K160" t="s">
        <v>15</v>
      </c>
    </row>
    <row r="161" spans="1:11" x14ac:dyDescent="0.3">
      <c r="A161">
        <v>1388</v>
      </c>
      <c r="B161" t="s">
        <v>55</v>
      </c>
      <c r="C161" t="s">
        <v>31</v>
      </c>
      <c r="D161" t="s">
        <v>18</v>
      </c>
      <c r="E161" t="s">
        <v>28</v>
      </c>
      <c r="F161">
        <v>12</v>
      </c>
      <c r="G161">
        <v>11662</v>
      </c>
      <c r="H161">
        <v>12</v>
      </c>
      <c r="I161" s="1">
        <v>46094</v>
      </c>
      <c r="J161" s="1">
        <v>46096</v>
      </c>
      <c r="K161" t="s">
        <v>20</v>
      </c>
    </row>
    <row r="162" spans="1:11" x14ac:dyDescent="0.3">
      <c r="A162">
        <v>1362</v>
      </c>
      <c r="B162" t="s">
        <v>16</v>
      </c>
      <c r="C162" t="s">
        <v>12</v>
      </c>
      <c r="D162" t="s">
        <v>18</v>
      </c>
      <c r="E162" t="s">
        <v>28</v>
      </c>
      <c r="F162">
        <v>1</v>
      </c>
      <c r="G162">
        <v>10474</v>
      </c>
      <c r="H162">
        <v>0</v>
      </c>
      <c r="I162" s="1">
        <v>46094</v>
      </c>
      <c r="J162" s="1">
        <v>46096</v>
      </c>
      <c r="K162" t="s">
        <v>29</v>
      </c>
    </row>
    <row r="163" spans="1:11" x14ac:dyDescent="0.3">
      <c r="A163">
        <v>1345</v>
      </c>
      <c r="B163" t="s">
        <v>32</v>
      </c>
      <c r="C163" t="s">
        <v>12</v>
      </c>
      <c r="D163" t="s">
        <v>34</v>
      </c>
      <c r="E163" t="s">
        <v>45</v>
      </c>
      <c r="F163">
        <v>12</v>
      </c>
      <c r="G163">
        <v>50544</v>
      </c>
      <c r="H163">
        <v>10</v>
      </c>
      <c r="I163" s="1">
        <v>46095</v>
      </c>
      <c r="J163" s="1">
        <v>46097</v>
      </c>
      <c r="K163" t="s">
        <v>29</v>
      </c>
    </row>
    <row r="164" spans="1:11" x14ac:dyDescent="0.3">
      <c r="A164">
        <v>1013</v>
      </c>
      <c r="B164" t="s">
        <v>16</v>
      </c>
      <c r="C164" t="s">
        <v>31</v>
      </c>
      <c r="D164" t="s">
        <v>13</v>
      </c>
      <c r="E164" t="s">
        <v>36</v>
      </c>
      <c r="F164">
        <v>17</v>
      </c>
      <c r="G164">
        <v>459</v>
      </c>
      <c r="H164">
        <v>12</v>
      </c>
      <c r="I164" s="1">
        <v>46095</v>
      </c>
      <c r="J164" s="1">
        <v>46105</v>
      </c>
      <c r="K164" t="s">
        <v>29</v>
      </c>
    </row>
    <row r="165" spans="1:11" x14ac:dyDescent="0.3">
      <c r="A165">
        <v>1359</v>
      </c>
      <c r="B165" t="s">
        <v>54</v>
      </c>
      <c r="C165" t="s">
        <v>12</v>
      </c>
      <c r="D165" t="s">
        <v>34</v>
      </c>
      <c r="E165" t="s">
        <v>61</v>
      </c>
      <c r="F165">
        <v>9</v>
      </c>
      <c r="G165">
        <v>38179</v>
      </c>
      <c r="H165">
        <v>0</v>
      </c>
      <c r="I165" s="1">
        <v>46096</v>
      </c>
      <c r="J165" s="1">
        <v>46099</v>
      </c>
      <c r="K165" t="s">
        <v>15</v>
      </c>
    </row>
    <row r="166" spans="1:11" x14ac:dyDescent="0.3">
      <c r="A166">
        <v>1266</v>
      </c>
      <c r="B166" t="s">
        <v>29</v>
      </c>
      <c r="C166" t="s">
        <v>33</v>
      </c>
      <c r="D166" t="s">
        <v>13</v>
      </c>
      <c r="E166" t="s">
        <v>14</v>
      </c>
      <c r="F166">
        <v>17</v>
      </c>
      <c r="G166">
        <v>365</v>
      </c>
      <c r="H166">
        <v>2</v>
      </c>
      <c r="I166" s="1">
        <v>46096</v>
      </c>
      <c r="J166" s="1">
        <v>46104</v>
      </c>
      <c r="K166" t="s">
        <v>51</v>
      </c>
    </row>
    <row r="167" spans="1:11" x14ac:dyDescent="0.3">
      <c r="A167">
        <v>1238</v>
      </c>
      <c r="B167" t="s">
        <v>30</v>
      </c>
      <c r="C167" t="s">
        <v>31</v>
      </c>
      <c r="D167" t="s">
        <v>13</v>
      </c>
      <c r="E167" t="s">
        <v>14</v>
      </c>
      <c r="F167">
        <v>6</v>
      </c>
      <c r="G167">
        <v>180</v>
      </c>
      <c r="H167">
        <v>12</v>
      </c>
      <c r="I167" s="1">
        <v>46096</v>
      </c>
      <c r="J167" s="1">
        <v>46097</v>
      </c>
      <c r="K167" t="s">
        <v>51</v>
      </c>
    </row>
    <row r="168" spans="1:11" x14ac:dyDescent="0.3">
      <c r="A168">
        <v>1276</v>
      </c>
      <c r="B168" t="s">
        <v>40</v>
      </c>
      <c r="C168" t="s">
        <v>12</v>
      </c>
      <c r="D168" t="s">
        <v>18</v>
      </c>
      <c r="E168" t="s">
        <v>19</v>
      </c>
      <c r="F168">
        <v>1</v>
      </c>
      <c r="G168">
        <v>13437</v>
      </c>
      <c r="H168">
        <v>15</v>
      </c>
      <c r="I168" s="1">
        <v>46097</v>
      </c>
      <c r="J168" s="1">
        <v>46099</v>
      </c>
      <c r="K168" t="s">
        <v>24</v>
      </c>
    </row>
    <row r="169" spans="1:11" x14ac:dyDescent="0.3">
      <c r="A169">
        <v>1030</v>
      </c>
      <c r="B169" t="s">
        <v>52</v>
      </c>
      <c r="C169" t="s">
        <v>12</v>
      </c>
      <c r="D169" t="s">
        <v>13</v>
      </c>
      <c r="E169" t="s">
        <v>53</v>
      </c>
      <c r="F169">
        <v>13</v>
      </c>
      <c r="G169">
        <v>336</v>
      </c>
      <c r="H169">
        <v>10</v>
      </c>
      <c r="I169" s="1">
        <v>46098</v>
      </c>
      <c r="J169" s="1">
        <v>46108</v>
      </c>
      <c r="K169" t="s">
        <v>15</v>
      </c>
    </row>
    <row r="170" spans="1:11" x14ac:dyDescent="0.3">
      <c r="A170">
        <v>1391</v>
      </c>
      <c r="B170" t="s">
        <v>30</v>
      </c>
      <c r="C170" t="s">
        <v>31</v>
      </c>
      <c r="D170" t="s">
        <v>34</v>
      </c>
      <c r="E170" t="s">
        <v>35</v>
      </c>
      <c r="F170">
        <v>5</v>
      </c>
      <c r="G170">
        <v>65270</v>
      </c>
      <c r="H170">
        <v>5</v>
      </c>
      <c r="I170" s="1">
        <v>46100</v>
      </c>
      <c r="J170" s="1">
        <v>46103</v>
      </c>
      <c r="K170" t="s">
        <v>24</v>
      </c>
    </row>
    <row r="171" spans="1:11" x14ac:dyDescent="0.3">
      <c r="A171">
        <v>1162</v>
      </c>
      <c r="B171" t="s">
        <v>57</v>
      </c>
      <c r="C171" t="s">
        <v>31</v>
      </c>
      <c r="D171" t="s">
        <v>34</v>
      </c>
      <c r="E171" t="s">
        <v>45</v>
      </c>
      <c r="F171">
        <v>2</v>
      </c>
      <c r="G171">
        <v>28176</v>
      </c>
      <c r="H171">
        <v>10</v>
      </c>
      <c r="I171" s="1">
        <v>46100</v>
      </c>
      <c r="J171" s="1">
        <v>46101</v>
      </c>
      <c r="K171" t="s">
        <v>20</v>
      </c>
    </row>
    <row r="172" spans="1:11" x14ac:dyDescent="0.3">
      <c r="A172">
        <v>1283</v>
      </c>
      <c r="B172" t="s">
        <v>40</v>
      </c>
      <c r="C172" t="s">
        <v>12</v>
      </c>
      <c r="D172" t="s">
        <v>18</v>
      </c>
      <c r="E172" t="s">
        <v>23</v>
      </c>
      <c r="F172">
        <v>6</v>
      </c>
      <c r="G172">
        <v>1167</v>
      </c>
      <c r="H172">
        <v>2</v>
      </c>
      <c r="I172" s="1">
        <v>46100</v>
      </c>
      <c r="J172" s="1">
        <v>46106</v>
      </c>
      <c r="K172" t="s">
        <v>15</v>
      </c>
    </row>
    <row r="173" spans="1:11" x14ac:dyDescent="0.3">
      <c r="A173">
        <v>1094</v>
      </c>
      <c r="B173" t="s">
        <v>47</v>
      </c>
      <c r="C173" t="s">
        <v>43</v>
      </c>
      <c r="D173" t="s">
        <v>34</v>
      </c>
      <c r="E173" t="s">
        <v>61</v>
      </c>
      <c r="F173">
        <v>4</v>
      </c>
      <c r="G173">
        <v>7073</v>
      </c>
      <c r="H173">
        <v>0</v>
      </c>
      <c r="I173" s="1">
        <v>46101</v>
      </c>
      <c r="J173" s="1">
        <v>46105</v>
      </c>
      <c r="K173" t="s">
        <v>29</v>
      </c>
    </row>
    <row r="174" spans="1:11" x14ac:dyDescent="0.3">
      <c r="A174">
        <v>1387</v>
      </c>
      <c r="B174" t="s">
        <v>54</v>
      </c>
      <c r="C174" t="s">
        <v>33</v>
      </c>
      <c r="D174" t="s">
        <v>34</v>
      </c>
      <c r="E174" t="s">
        <v>35</v>
      </c>
      <c r="F174">
        <v>11</v>
      </c>
      <c r="G174">
        <v>56515</v>
      </c>
      <c r="H174">
        <v>5</v>
      </c>
      <c r="I174" s="1">
        <v>46102</v>
      </c>
      <c r="J174" s="1">
        <v>46112</v>
      </c>
      <c r="K174" t="s">
        <v>24</v>
      </c>
    </row>
    <row r="175" spans="1:11" x14ac:dyDescent="0.3">
      <c r="A175">
        <v>1049</v>
      </c>
      <c r="B175" t="s">
        <v>52</v>
      </c>
      <c r="C175" t="s">
        <v>25</v>
      </c>
      <c r="D175" t="s">
        <v>34</v>
      </c>
      <c r="E175" t="s">
        <v>45</v>
      </c>
      <c r="F175">
        <v>2</v>
      </c>
      <c r="G175">
        <v>40789</v>
      </c>
      <c r="H175">
        <v>0</v>
      </c>
      <c r="I175" s="1">
        <v>46102</v>
      </c>
      <c r="J175" s="1">
        <v>46108</v>
      </c>
      <c r="K175" t="s">
        <v>24</v>
      </c>
    </row>
    <row r="176" spans="1:11" x14ac:dyDescent="0.3">
      <c r="A176">
        <v>1145</v>
      </c>
      <c r="B176" t="s">
        <v>42</v>
      </c>
      <c r="C176" t="s">
        <v>33</v>
      </c>
      <c r="D176" t="s">
        <v>34</v>
      </c>
      <c r="E176" t="s">
        <v>39</v>
      </c>
      <c r="F176">
        <v>2</v>
      </c>
      <c r="G176">
        <v>34429</v>
      </c>
      <c r="H176">
        <v>12</v>
      </c>
      <c r="I176" s="1">
        <v>46102</v>
      </c>
      <c r="J176" s="1">
        <v>46112</v>
      </c>
      <c r="K176" t="s">
        <v>24</v>
      </c>
    </row>
    <row r="177" spans="1:11" x14ac:dyDescent="0.3">
      <c r="A177">
        <v>1121</v>
      </c>
      <c r="B177" t="s">
        <v>29</v>
      </c>
      <c r="C177" t="s">
        <v>12</v>
      </c>
      <c r="D177" t="s">
        <v>34</v>
      </c>
      <c r="E177" t="s">
        <v>39</v>
      </c>
      <c r="F177">
        <v>4</v>
      </c>
      <c r="G177">
        <v>55809</v>
      </c>
      <c r="H177">
        <v>2</v>
      </c>
      <c r="I177" s="1">
        <v>46103</v>
      </c>
      <c r="J177" s="1">
        <v>46108</v>
      </c>
      <c r="K177" t="s">
        <v>29</v>
      </c>
    </row>
    <row r="178" spans="1:11" x14ac:dyDescent="0.3">
      <c r="A178">
        <v>1209</v>
      </c>
      <c r="B178" t="s">
        <v>48</v>
      </c>
      <c r="C178" t="s">
        <v>38</v>
      </c>
      <c r="D178" t="s">
        <v>34</v>
      </c>
      <c r="E178" t="s">
        <v>35</v>
      </c>
      <c r="F178">
        <v>19</v>
      </c>
      <c r="G178">
        <v>20284</v>
      </c>
      <c r="H178">
        <v>10</v>
      </c>
      <c r="I178" s="1">
        <v>46103</v>
      </c>
      <c r="J178" s="1">
        <v>46110</v>
      </c>
      <c r="K178" t="s">
        <v>20</v>
      </c>
    </row>
    <row r="179" spans="1:11" x14ac:dyDescent="0.3">
      <c r="A179">
        <v>1161</v>
      </c>
      <c r="B179" t="s">
        <v>27</v>
      </c>
      <c r="C179" t="s">
        <v>25</v>
      </c>
      <c r="D179" t="s">
        <v>34</v>
      </c>
      <c r="E179" t="s">
        <v>39</v>
      </c>
      <c r="F179">
        <v>4</v>
      </c>
      <c r="G179">
        <v>54659</v>
      </c>
      <c r="H179">
        <v>7</v>
      </c>
      <c r="I179" s="1">
        <v>46105</v>
      </c>
      <c r="J179" s="1">
        <v>46109</v>
      </c>
      <c r="K179" t="s">
        <v>20</v>
      </c>
    </row>
    <row r="180" spans="1:11" x14ac:dyDescent="0.3">
      <c r="A180">
        <v>1377</v>
      </c>
      <c r="B180" t="s">
        <v>32</v>
      </c>
      <c r="C180" t="s">
        <v>38</v>
      </c>
      <c r="D180" t="s">
        <v>18</v>
      </c>
      <c r="E180" t="s">
        <v>19</v>
      </c>
      <c r="F180">
        <v>3</v>
      </c>
      <c r="G180">
        <v>5480</v>
      </c>
      <c r="H180">
        <v>12</v>
      </c>
      <c r="I180" s="1">
        <v>46105</v>
      </c>
      <c r="J180" s="1">
        <v>46111</v>
      </c>
      <c r="K180" t="s">
        <v>24</v>
      </c>
    </row>
    <row r="181" spans="1:11" x14ac:dyDescent="0.3">
      <c r="A181">
        <v>1170</v>
      </c>
      <c r="B181" t="s">
        <v>49</v>
      </c>
      <c r="C181" t="s">
        <v>38</v>
      </c>
      <c r="D181" t="s">
        <v>13</v>
      </c>
      <c r="E181" t="s">
        <v>14</v>
      </c>
      <c r="F181">
        <v>6</v>
      </c>
      <c r="G181">
        <v>339</v>
      </c>
      <c r="H181">
        <v>12</v>
      </c>
      <c r="I181" s="1">
        <v>46105</v>
      </c>
      <c r="J181" s="1">
        <v>46106</v>
      </c>
      <c r="K181" t="s">
        <v>24</v>
      </c>
    </row>
    <row r="182" spans="1:11" x14ac:dyDescent="0.3">
      <c r="A182">
        <v>1102</v>
      </c>
      <c r="B182" t="s">
        <v>54</v>
      </c>
      <c r="C182" t="s">
        <v>25</v>
      </c>
      <c r="D182" t="s">
        <v>34</v>
      </c>
      <c r="E182" t="s">
        <v>45</v>
      </c>
      <c r="F182">
        <v>12</v>
      </c>
      <c r="G182">
        <v>63402</v>
      </c>
      <c r="H182">
        <v>7</v>
      </c>
      <c r="I182" s="1">
        <v>46106</v>
      </c>
      <c r="J182" s="1">
        <v>46113</v>
      </c>
      <c r="K182" t="s">
        <v>51</v>
      </c>
    </row>
    <row r="183" spans="1:11" x14ac:dyDescent="0.3">
      <c r="A183">
        <v>1198</v>
      </c>
      <c r="B183" t="s">
        <v>58</v>
      </c>
      <c r="C183" t="s">
        <v>12</v>
      </c>
      <c r="D183" t="s">
        <v>13</v>
      </c>
      <c r="E183" t="s">
        <v>14</v>
      </c>
      <c r="F183">
        <v>12</v>
      </c>
      <c r="G183">
        <v>491</v>
      </c>
      <c r="H183">
        <v>2</v>
      </c>
      <c r="I183" s="1">
        <v>46106</v>
      </c>
      <c r="J183" s="1">
        <v>46109</v>
      </c>
      <c r="K183" t="s">
        <v>51</v>
      </c>
    </row>
    <row r="184" spans="1:11" x14ac:dyDescent="0.3">
      <c r="A184">
        <v>1379</v>
      </c>
      <c r="B184" t="s">
        <v>47</v>
      </c>
      <c r="C184" t="s">
        <v>17</v>
      </c>
      <c r="D184" t="s">
        <v>13</v>
      </c>
      <c r="E184" t="s">
        <v>14</v>
      </c>
      <c r="F184">
        <v>11</v>
      </c>
      <c r="G184">
        <v>136</v>
      </c>
      <c r="H184">
        <v>15</v>
      </c>
      <c r="I184" s="1">
        <v>46106</v>
      </c>
      <c r="J184" s="1">
        <v>46107</v>
      </c>
      <c r="K184" t="s">
        <v>20</v>
      </c>
    </row>
    <row r="185" spans="1:11" x14ac:dyDescent="0.3">
      <c r="A185">
        <v>1039</v>
      </c>
      <c r="B185" t="s">
        <v>48</v>
      </c>
      <c r="C185" t="s">
        <v>38</v>
      </c>
      <c r="D185" t="s">
        <v>34</v>
      </c>
      <c r="E185" t="s">
        <v>45</v>
      </c>
      <c r="F185">
        <v>5</v>
      </c>
      <c r="G185">
        <v>60236</v>
      </c>
      <c r="H185">
        <v>10</v>
      </c>
      <c r="I185" s="1">
        <v>46107</v>
      </c>
      <c r="J185" s="1">
        <v>46110</v>
      </c>
      <c r="K185" t="s">
        <v>20</v>
      </c>
    </row>
    <row r="186" spans="1:11" x14ac:dyDescent="0.3">
      <c r="A186">
        <v>1321</v>
      </c>
      <c r="B186" t="s">
        <v>32</v>
      </c>
      <c r="C186" t="s">
        <v>22</v>
      </c>
      <c r="D186" t="s">
        <v>18</v>
      </c>
      <c r="E186" t="s">
        <v>19</v>
      </c>
      <c r="F186">
        <v>8</v>
      </c>
      <c r="G186">
        <v>5619</v>
      </c>
      <c r="H186">
        <v>7</v>
      </c>
      <c r="I186" s="1">
        <v>46107</v>
      </c>
      <c r="J186" s="1">
        <v>46109</v>
      </c>
      <c r="K186" t="s">
        <v>51</v>
      </c>
    </row>
    <row r="187" spans="1:11" x14ac:dyDescent="0.3">
      <c r="A187">
        <v>1123</v>
      </c>
      <c r="B187" t="s">
        <v>32</v>
      </c>
      <c r="C187" t="s">
        <v>31</v>
      </c>
      <c r="D187" t="s">
        <v>34</v>
      </c>
      <c r="E187" t="s">
        <v>45</v>
      </c>
      <c r="F187">
        <v>16</v>
      </c>
      <c r="G187">
        <v>1332</v>
      </c>
      <c r="H187">
        <v>7</v>
      </c>
      <c r="I187" s="1">
        <v>46107</v>
      </c>
      <c r="J187" s="1">
        <v>46109</v>
      </c>
      <c r="K187" t="s">
        <v>29</v>
      </c>
    </row>
    <row r="188" spans="1:11" x14ac:dyDescent="0.3">
      <c r="A188">
        <v>1182</v>
      </c>
      <c r="B188" t="s">
        <v>42</v>
      </c>
      <c r="C188" t="s">
        <v>12</v>
      </c>
      <c r="D188" t="s">
        <v>34</v>
      </c>
      <c r="E188" t="s">
        <v>39</v>
      </c>
      <c r="F188">
        <v>8</v>
      </c>
      <c r="G188">
        <v>66022</v>
      </c>
      <c r="H188">
        <v>12</v>
      </c>
      <c r="I188" s="1">
        <v>46108</v>
      </c>
      <c r="J188" s="1">
        <v>46114</v>
      </c>
      <c r="K188" t="s">
        <v>24</v>
      </c>
    </row>
    <row r="189" spans="1:11" x14ac:dyDescent="0.3">
      <c r="A189">
        <v>1183</v>
      </c>
      <c r="B189" t="s">
        <v>52</v>
      </c>
      <c r="C189" t="s">
        <v>43</v>
      </c>
      <c r="D189" t="s">
        <v>13</v>
      </c>
      <c r="E189" t="s">
        <v>14</v>
      </c>
      <c r="F189">
        <v>2</v>
      </c>
      <c r="G189">
        <v>309</v>
      </c>
      <c r="H189">
        <v>2</v>
      </c>
      <c r="I189" s="1">
        <v>46109</v>
      </c>
      <c r="J189" s="1">
        <v>46111</v>
      </c>
      <c r="K189" t="s">
        <v>20</v>
      </c>
    </row>
    <row r="190" spans="1:11" x14ac:dyDescent="0.3">
      <c r="A190">
        <v>1328</v>
      </c>
      <c r="B190" t="s">
        <v>16</v>
      </c>
      <c r="C190" t="s">
        <v>38</v>
      </c>
      <c r="D190" t="s">
        <v>13</v>
      </c>
      <c r="E190" t="s">
        <v>36</v>
      </c>
      <c r="F190">
        <v>4</v>
      </c>
      <c r="G190">
        <v>132</v>
      </c>
      <c r="H190">
        <v>0</v>
      </c>
      <c r="I190" s="1">
        <v>46109</v>
      </c>
      <c r="J190" s="1">
        <v>46114</v>
      </c>
      <c r="K190" t="s">
        <v>29</v>
      </c>
    </row>
    <row r="191" spans="1:11" x14ac:dyDescent="0.3">
      <c r="A191">
        <v>1290</v>
      </c>
      <c r="B191" t="s">
        <v>26</v>
      </c>
      <c r="C191" t="s">
        <v>22</v>
      </c>
      <c r="D191" t="s">
        <v>34</v>
      </c>
      <c r="E191" t="s">
        <v>35</v>
      </c>
      <c r="F191">
        <v>3</v>
      </c>
      <c r="G191">
        <v>69793</v>
      </c>
      <c r="H191">
        <v>15</v>
      </c>
      <c r="I191" s="1">
        <v>46110</v>
      </c>
      <c r="J191" s="1">
        <v>46111</v>
      </c>
      <c r="K191" t="s">
        <v>29</v>
      </c>
    </row>
    <row r="192" spans="1:11" x14ac:dyDescent="0.3">
      <c r="A192">
        <v>1193</v>
      </c>
      <c r="B192" t="s">
        <v>57</v>
      </c>
      <c r="C192" t="s">
        <v>12</v>
      </c>
      <c r="D192" t="s">
        <v>18</v>
      </c>
      <c r="E192" t="s">
        <v>23</v>
      </c>
      <c r="F192">
        <v>19</v>
      </c>
      <c r="G192">
        <v>2699</v>
      </c>
      <c r="H192">
        <v>7</v>
      </c>
      <c r="I192" s="1">
        <v>46110</v>
      </c>
      <c r="J192" s="1">
        <v>46112</v>
      </c>
      <c r="K192" t="s">
        <v>29</v>
      </c>
    </row>
    <row r="193" spans="1:11" x14ac:dyDescent="0.3">
      <c r="A193">
        <v>1300</v>
      </c>
      <c r="B193" t="s">
        <v>47</v>
      </c>
      <c r="C193" t="s">
        <v>33</v>
      </c>
      <c r="D193" t="s">
        <v>34</v>
      </c>
      <c r="E193" t="s">
        <v>45</v>
      </c>
      <c r="F193">
        <v>20</v>
      </c>
      <c r="G193">
        <v>1392</v>
      </c>
      <c r="H193">
        <v>2</v>
      </c>
      <c r="I193" s="1">
        <v>46110</v>
      </c>
      <c r="J193" s="1">
        <v>46117</v>
      </c>
      <c r="K193" t="s">
        <v>24</v>
      </c>
    </row>
    <row r="194" spans="1:11" x14ac:dyDescent="0.3">
      <c r="A194">
        <v>1180</v>
      </c>
      <c r="B194" t="s">
        <v>40</v>
      </c>
      <c r="C194" t="s">
        <v>31</v>
      </c>
      <c r="D194" t="s">
        <v>18</v>
      </c>
      <c r="E194" t="s">
        <v>28</v>
      </c>
      <c r="F194">
        <v>2</v>
      </c>
      <c r="G194">
        <v>2076</v>
      </c>
      <c r="H194">
        <v>2</v>
      </c>
      <c r="I194" s="1">
        <v>46111</v>
      </c>
      <c r="J194" s="1">
        <v>46121</v>
      </c>
      <c r="K194" t="s">
        <v>29</v>
      </c>
    </row>
    <row r="195" spans="1:11" x14ac:dyDescent="0.3">
      <c r="A195">
        <v>1178</v>
      </c>
      <c r="B195" t="s">
        <v>57</v>
      </c>
      <c r="C195" t="s">
        <v>17</v>
      </c>
      <c r="D195" t="s">
        <v>13</v>
      </c>
      <c r="E195" t="s">
        <v>50</v>
      </c>
      <c r="F195">
        <v>5</v>
      </c>
      <c r="G195">
        <v>50</v>
      </c>
      <c r="H195">
        <v>0</v>
      </c>
      <c r="I195" s="1">
        <v>46111</v>
      </c>
      <c r="J195" s="1">
        <v>46117</v>
      </c>
      <c r="K195" t="s">
        <v>20</v>
      </c>
    </row>
    <row r="196" spans="1:11" x14ac:dyDescent="0.3">
      <c r="A196">
        <v>1251</v>
      </c>
      <c r="B196" t="s">
        <v>55</v>
      </c>
      <c r="C196" t="s">
        <v>38</v>
      </c>
      <c r="D196" t="s">
        <v>34</v>
      </c>
      <c r="E196" t="s">
        <v>61</v>
      </c>
      <c r="F196">
        <v>19</v>
      </c>
      <c r="G196">
        <v>48548</v>
      </c>
      <c r="H196">
        <v>0</v>
      </c>
      <c r="I196" s="1">
        <v>46112</v>
      </c>
      <c r="J196" s="1">
        <v>46121</v>
      </c>
      <c r="K196" t="s">
        <v>51</v>
      </c>
    </row>
    <row r="197" spans="1:11" x14ac:dyDescent="0.3">
      <c r="A197">
        <v>1133</v>
      </c>
      <c r="B197" t="s">
        <v>11</v>
      </c>
      <c r="C197" t="s">
        <v>12</v>
      </c>
      <c r="D197" t="s">
        <v>18</v>
      </c>
      <c r="E197" t="s">
        <v>56</v>
      </c>
      <c r="F197">
        <v>6</v>
      </c>
      <c r="G197">
        <v>9037</v>
      </c>
      <c r="H197">
        <v>2</v>
      </c>
      <c r="I197" s="1">
        <v>46112</v>
      </c>
      <c r="J197" s="1">
        <v>46121</v>
      </c>
      <c r="K197" t="s">
        <v>51</v>
      </c>
    </row>
    <row r="198" spans="1:11" x14ac:dyDescent="0.3">
      <c r="A198">
        <v>1227</v>
      </c>
      <c r="B198" t="s">
        <v>58</v>
      </c>
      <c r="C198" t="s">
        <v>22</v>
      </c>
      <c r="D198" t="s">
        <v>34</v>
      </c>
      <c r="E198" t="s">
        <v>45</v>
      </c>
      <c r="F198">
        <v>16</v>
      </c>
      <c r="G198">
        <v>1321</v>
      </c>
      <c r="H198">
        <v>12</v>
      </c>
      <c r="I198" s="1">
        <v>46113</v>
      </c>
      <c r="J198" s="1">
        <v>46116</v>
      </c>
      <c r="K198" t="s">
        <v>15</v>
      </c>
    </row>
    <row r="199" spans="1:11" x14ac:dyDescent="0.3">
      <c r="A199">
        <v>1077</v>
      </c>
      <c r="B199" t="s">
        <v>55</v>
      </c>
      <c r="C199" t="s">
        <v>25</v>
      </c>
      <c r="D199" t="s">
        <v>13</v>
      </c>
      <c r="E199" t="s">
        <v>14</v>
      </c>
      <c r="F199">
        <v>1</v>
      </c>
      <c r="G199">
        <v>123</v>
      </c>
      <c r="H199">
        <v>10</v>
      </c>
      <c r="I199" s="1">
        <v>46113</v>
      </c>
      <c r="J199" s="1">
        <v>46121</v>
      </c>
      <c r="K199" t="s">
        <v>51</v>
      </c>
    </row>
    <row r="200" spans="1:11" x14ac:dyDescent="0.3">
      <c r="A200">
        <v>1059</v>
      </c>
      <c r="B200" t="s">
        <v>54</v>
      </c>
      <c r="C200" t="s">
        <v>25</v>
      </c>
      <c r="D200" t="s">
        <v>13</v>
      </c>
      <c r="E200" t="s">
        <v>50</v>
      </c>
      <c r="F200">
        <v>20</v>
      </c>
      <c r="G200">
        <v>112</v>
      </c>
      <c r="H200">
        <v>10</v>
      </c>
      <c r="I200" s="1">
        <v>46113</v>
      </c>
      <c r="J200" s="1">
        <v>46122</v>
      </c>
      <c r="K200" t="s">
        <v>51</v>
      </c>
    </row>
    <row r="201" spans="1:11" x14ac:dyDescent="0.3">
      <c r="A201">
        <v>1234</v>
      </c>
      <c r="B201" t="s">
        <v>11</v>
      </c>
      <c r="C201" t="s">
        <v>25</v>
      </c>
      <c r="D201" t="s">
        <v>18</v>
      </c>
      <c r="E201" t="s">
        <v>28</v>
      </c>
      <c r="F201">
        <v>1</v>
      </c>
      <c r="G201">
        <v>14320</v>
      </c>
      <c r="H201">
        <v>12</v>
      </c>
      <c r="I201" s="1">
        <v>46114</v>
      </c>
      <c r="J201" s="1">
        <v>46121</v>
      </c>
      <c r="K201" t="s">
        <v>51</v>
      </c>
    </row>
    <row r="202" spans="1:11" x14ac:dyDescent="0.3">
      <c r="A202">
        <v>1074</v>
      </c>
      <c r="B202" t="s">
        <v>26</v>
      </c>
      <c r="C202" t="s">
        <v>31</v>
      </c>
      <c r="D202" t="s">
        <v>13</v>
      </c>
      <c r="E202" t="s">
        <v>50</v>
      </c>
      <c r="F202">
        <v>11</v>
      </c>
      <c r="G202">
        <v>390</v>
      </c>
      <c r="H202">
        <v>15</v>
      </c>
      <c r="I202" s="1">
        <v>46114</v>
      </c>
      <c r="J202" s="1">
        <v>46123</v>
      </c>
      <c r="K202" t="s">
        <v>29</v>
      </c>
    </row>
    <row r="203" spans="1:11" x14ac:dyDescent="0.3">
      <c r="A203">
        <v>1213</v>
      </c>
      <c r="B203" t="s">
        <v>32</v>
      </c>
      <c r="C203" t="s">
        <v>38</v>
      </c>
      <c r="D203" t="s">
        <v>34</v>
      </c>
      <c r="E203" t="s">
        <v>45</v>
      </c>
      <c r="F203">
        <v>16</v>
      </c>
      <c r="G203">
        <v>27741</v>
      </c>
      <c r="H203">
        <v>12</v>
      </c>
      <c r="I203" s="1">
        <v>46116</v>
      </c>
      <c r="J203" s="1">
        <v>46119</v>
      </c>
      <c r="K203" t="s">
        <v>15</v>
      </c>
    </row>
    <row r="204" spans="1:11" x14ac:dyDescent="0.3">
      <c r="A204">
        <v>1028</v>
      </c>
      <c r="B204" t="s">
        <v>47</v>
      </c>
      <c r="C204" t="s">
        <v>22</v>
      </c>
      <c r="D204" t="s">
        <v>13</v>
      </c>
      <c r="E204" t="s">
        <v>36</v>
      </c>
      <c r="F204">
        <v>13</v>
      </c>
      <c r="G204">
        <v>433</v>
      </c>
      <c r="H204">
        <v>2</v>
      </c>
      <c r="I204" s="1">
        <v>46116</v>
      </c>
      <c r="J204" s="1">
        <v>46121</v>
      </c>
      <c r="K204" t="s">
        <v>24</v>
      </c>
    </row>
    <row r="205" spans="1:11" x14ac:dyDescent="0.3">
      <c r="A205">
        <v>1287</v>
      </c>
      <c r="B205" t="s">
        <v>59</v>
      </c>
      <c r="C205" t="s">
        <v>31</v>
      </c>
      <c r="D205" t="s">
        <v>13</v>
      </c>
      <c r="E205" t="s">
        <v>14</v>
      </c>
      <c r="F205">
        <v>15</v>
      </c>
      <c r="G205">
        <v>251</v>
      </c>
      <c r="H205">
        <v>2</v>
      </c>
      <c r="I205" s="1">
        <v>46116</v>
      </c>
      <c r="J205" s="1">
        <v>46122</v>
      </c>
      <c r="K205" t="s">
        <v>51</v>
      </c>
    </row>
    <row r="206" spans="1:11" x14ac:dyDescent="0.3">
      <c r="A206">
        <v>1022</v>
      </c>
      <c r="B206" t="s">
        <v>26</v>
      </c>
      <c r="C206" t="s">
        <v>17</v>
      </c>
      <c r="D206" t="s">
        <v>34</v>
      </c>
      <c r="E206" t="s">
        <v>45</v>
      </c>
      <c r="F206">
        <v>15</v>
      </c>
      <c r="G206">
        <v>11596</v>
      </c>
      <c r="H206">
        <v>0</v>
      </c>
      <c r="I206" s="1">
        <v>46117</v>
      </c>
      <c r="J206" s="1">
        <v>46121</v>
      </c>
      <c r="K206" t="s">
        <v>29</v>
      </c>
    </row>
    <row r="207" spans="1:11" x14ac:dyDescent="0.3">
      <c r="A207">
        <v>1265</v>
      </c>
      <c r="B207" t="s">
        <v>58</v>
      </c>
      <c r="C207" t="s">
        <v>22</v>
      </c>
      <c r="D207" t="s">
        <v>18</v>
      </c>
      <c r="E207" t="s">
        <v>19</v>
      </c>
      <c r="F207">
        <v>1</v>
      </c>
      <c r="G207">
        <v>1052</v>
      </c>
      <c r="H207">
        <v>7</v>
      </c>
      <c r="I207" s="1">
        <v>46117</v>
      </c>
      <c r="J207" s="1">
        <v>46127</v>
      </c>
      <c r="K207" t="s">
        <v>51</v>
      </c>
    </row>
    <row r="208" spans="1:11" x14ac:dyDescent="0.3">
      <c r="A208">
        <v>1354</v>
      </c>
      <c r="B208" t="s">
        <v>47</v>
      </c>
      <c r="C208" t="s">
        <v>43</v>
      </c>
      <c r="D208" t="s">
        <v>34</v>
      </c>
      <c r="E208" t="s">
        <v>35</v>
      </c>
      <c r="F208">
        <v>15</v>
      </c>
      <c r="G208">
        <v>14927</v>
      </c>
      <c r="H208">
        <v>15</v>
      </c>
      <c r="I208" s="1">
        <v>46118</v>
      </c>
      <c r="J208" s="1">
        <v>46120</v>
      </c>
      <c r="K208" t="s">
        <v>51</v>
      </c>
    </row>
    <row r="209" spans="1:11" x14ac:dyDescent="0.3">
      <c r="A209">
        <v>1108</v>
      </c>
      <c r="B209" t="s">
        <v>42</v>
      </c>
      <c r="C209" t="s">
        <v>33</v>
      </c>
      <c r="D209" t="s">
        <v>18</v>
      </c>
      <c r="E209" t="s">
        <v>28</v>
      </c>
      <c r="F209">
        <v>15</v>
      </c>
      <c r="G209">
        <v>13843</v>
      </c>
      <c r="H209">
        <v>7</v>
      </c>
      <c r="I209" s="1">
        <v>46119</v>
      </c>
      <c r="J209" s="1">
        <v>46127</v>
      </c>
      <c r="K209" t="s">
        <v>20</v>
      </c>
    </row>
    <row r="210" spans="1:11" x14ac:dyDescent="0.3">
      <c r="A210">
        <v>1241</v>
      </c>
      <c r="B210" t="s">
        <v>46</v>
      </c>
      <c r="C210" t="s">
        <v>31</v>
      </c>
      <c r="D210" t="s">
        <v>18</v>
      </c>
      <c r="E210" t="s">
        <v>44</v>
      </c>
      <c r="F210">
        <v>1</v>
      </c>
      <c r="G210">
        <v>12537</v>
      </c>
      <c r="H210">
        <v>0</v>
      </c>
      <c r="I210" s="1">
        <v>46119</v>
      </c>
      <c r="J210" s="1">
        <v>46122</v>
      </c>
      <c r="K210" t="s">
        <v>15</v>
      </c>
    </row>
    <row r="211" spans="1:11" x14ac:dyDescent="0.3">
      <c r="A211">
        <v>1203</v>
      </c>
      <c r="B211" t="s">
        <v>40</v>
      </c>
      <c r="C211" t="s">
        <v>22</v>
      </c>
      <c r="D211" t="s">
        <v>18</v>
      </c>
      <c r="E211" t="s">
        <v>23</v>
      </c>
      <c r="F211">
        <v>17</v>
      </c>
      <c r="G211">
        <v>6695</v>
      </c>
      <c r="H211">
        <v>2</v>
      </c>
      <c r="I211" s="1">
        <v>46119</v>
      </c>
      <c r="J211" s="1">
        <v>46122</v>
      </c>
      <c r="K211" t="s">
        <v>51</v>
      </c>
    </row>
    <row r="212" spans="1:11" x14ac:dyDescent="0.3">
      <c r="A212">
        <v>1261</v>
      </c>
      <c r="B212" t="s">
        <v>40</v>
      </c>
      <c r="C212" t="s">
        <v>17</v>
      </c>
      <c r="D212" t="s">
        <v>13</v>
      </c>
      <c r="E212" t="s">
        <v>50</v>
      </c>
      <c r="F212">
        <v>20</v>
      </c>
      <c r="G212">
        <v>162</v>
      </c>
      <c r="H212">
        <v>7</v>
      </c>
      <c r="I212" s="1">
        <v>46119</v>
      </c>
      <c r="J212" s="1">
        <v>46120</v>
      </c>
      <c r="K212" t="s">
        <v>51</v>
      </c>
    </row>
    <row r="213" spans="1:11" x14ac:dyDescent="0.3">
      <c r="A213">
        <v>1172</v>
      </c>
      <c r="B213" t="s">
        <v>16</v>
      </c>
      <c r="C213" t="s">
        <v>12</v>
      </c>
      <c r="D213" t="s">
        <v>34</v>
      </c>
      <c r="E213" t="s">
        <v>45</v>
      </c>
      <c r="F213">
        <v>13</v>
      </c>
      <c r="G213">
        <v>43163</v>
      </c>
      <c r="H213">
        <v>12</v>
      </c>
      <c r="I213" s="1">
        <v>46120</v>
      </c>
      <c r="J213" s="1">
        <v>46129</v>
      </c>
      <c r="K213" t="s">
        <v>24</v>
      </c>
    </row>
    <row r="214" spans="1:11" x14ac:dyDescent="0.3">
      <c r="A214">
        <v>1169</v>
      </c>
      <c r="B214" t="s">
        <v>47</v>
      </c>
      <c r="C214" t="s">
        <v>12</v>
      </c>
      <c r="D214" t="s">
        <v>18</v>
      </c>
      <c r="E214" t="s">
        <v>56</v>
      </c>
      <c r="F214">
        <v>12</v>
      </c>
      <c r="G214">
        <v>12104</v>
      </c>
      <c r="H214">
        <v>7</v>
      </c>
      <c r="I214" s="1">
        <v>46121</v>
      </c>
      <c r="J214" s="1">
        <v>46130</v>
      </c>
      <c r="K214" t="s">
        <v>24</v>
      </c>
    </row>
    <row r="215" spans="1:11" x14ac:dyDescent="0.3">
      <c r="A215">
        <v>1363</v>
      </c>
      <c r="B215" t="s">
        <v>27</v>
      </c>
      <c r="C215" t="s">
        <v>25</v>
      </c>
      <c r="D215" t="s">
        <v>34</v>
      </c>
      <c r="E215" t="s">
        <v>35</v>
      </c>
      <c r="F215">
        <v>7</v>
      </c>
      <c r="G215">
        <v>45381</v>
      </c>
      <c r="H215">
        <v>0</v>
      </c>
      <c r="I215" s="1">
        <v>46122</v>
      </c>
      <c r="J215" s="1">
        <v>46128</v>
      </c>
      <c r="K215" t="s">
        <v>15</v>
      </c>
    </row>
    <row r="216" spans="1:11" x14ac:dyDescent="0.3">
      <c r="A216">
        <v>1289</v>
      </c>
      <c r="B216" t="s">
        <v>26</v>
      </c>
      <c r="C216" t="s">
        <v>22</v>
      </c>
      <c r="D216" t="s">
        <v>34</v>
      </c>
      <c r="E216" t="s">
        <v>45</v>
      </c>
      <c r="F216">
        <v>19</v>
      </c>
      <c r="G216">
        <v>25336</v>
      </c>
      <c r="H216">
        <v>2</v>
      </c>
      <c r="I216" s="1">
        <v>46122</v>
      </c>
      <c r="J216" s="1">
        <v>46130</v>
      </c>
      <c r="K216" t="s">
        <v>24</v>
      </c>
    </row>
    <row r="217" spans="1:11" x14ac:dyDescent="0.3">
      <c r="A217">
        <v>1239</v>
      </c>
      <c r="B217" t="s">
        <v>48</v>
      </c>
      <c r="C217" t="s">
        <v>17</v>
      </c>
      <c r="D217" t="s">
        <v>18</v>
      </c>
      <c r="E217" t="s">
        <v>56</v>
      </c>
      <c r="F217">
        <v>2</v>
      </c>
      <c r="G217">
        <v>12330</v>
      </c>
      <c r="H217">
        <v>12</v>
      </c>
      <c r="I217" s="1">
        <v>46122</v>
      </c>
      <c r="J217" s="1">
        <v>46125</v>
      </c>
      <c r="K217" t="s">
        <v>15</v>
      </c>
    </row>
    <row r="218" spans="1:11" x14ac:dyDescent="0.3">
      <c r="A218">
        <v>1221</v>
      </c>
      <c r="B218" t="s">
        <v>11</v>
      </c>
      <c r="C218" t="s">
        <v>31</v>
      </c>
      <c r="D218" t="s">
        <v>18</v>
      </c>
      <c r="E218" t="s">
        <v>56</v>
      </c>
      <c r="F218">
        <v>18</v>
      </c>
      <c r="G218">
        <v>2681</v>
      </c>
      <c r="H218">
        <v>10</v>
      </c>
      <c r="I218" s="1">
        <v>46122</v>
      </c>
      <c r="J218" s="1">
        <v>46125</v>
      </c>
      <c r="K218" t="s">
        <v>51</v>
      </c>
    </row>
    <row r="219" spans="1:11" x14ac:dyDescent="0.3">
      <c r="A219">
        <v>1299</v>
      </c>
      <c r="B219" t="s">
        <v>26</v>
      </c>
      <c r="C219" t="s">
        <v>17</v>
      </c>
      <c r="D219" t="s">
        <v>18</v>
      </c>
      <c r="E219" t="s">
        <v>56</v>
      </c>
      <c r="F219">
        <v>8</v>
      </c>
      <c r="G219">
        <v>8783</v>
      </c>
      <c r="H219">
        <v>2</v>
      </c>
      <c r="I219" s="1">
        <v>46123</v>
      </c>
      <c r="J219" s="1">
        <v>46132</v>
      </c>
      <c r="K219" t="s">
        <v>15</v>
      </c>
    </row>
    <row r="220" spans="1:11" x14ac:dyDescent="0.3">
      <c r="A220">
        <v>1204</v>
      </c>
      <c r="B220" t="s">
        <v>16</v>
      </c>
      <c r="C220" t="s">
        <v>31</v>
      </c>
      <c r="D220" t="s">
        <v>13</v>
      </c>
      <c r="E220" t="s">
        <v>37</v>
      </c>
      <c r="F220">
        <v>13</v>
      </c>
      <c r="G220">
        <v>416</v>
      </c>
      <c r="H220">
        <v>10</v>
      </c>
      <c r="I220" s="1">
        <v>46123</v>
      </c>
      <c r="J220" s="1">
        <v>46132</v>
      </c>
      <c r="K220" t="s">
        <v>20</v>
      </c>
    </row>
    <row r="221" spans="1:11" x14ac:dyDescent="0.3">
      <c r="A221">
        <v>1279</v>
      </c>
      <c r="B221" t="s">
        <v>55</v>
      </c>
      <c r="C221" t="s">
        <v>33</v>
      </c>
      <c r="D221" t="s">
        <v>34</v>
      </c>
      <c r="E221" t="s">
        <v>45</v>
      </c>
      <c r="F221">
        <v>20</v>
      </c>
      <c r="G221">
        <v>49042</v>
      </c>
      <c r="H221">
        <v>2</v>
      </c>
      <c r="I221" s="1">
        <v>46124</v>
      </c>
      <c r="J221" s="1">
        <v>46126</v>
      </c>
      <c r="K221" t="s">
        <v>15</v>
      </c>
    </row>
    <row r="222" spans="1:11" x14ac:dyDescent="0.3">
      <c r="A222">
        <v>1392</v>
      </c>
      <c r="B222" t="s">
        <v>29</v>
      </c>
      <c r="C222" t="s">
        <v>43</v>
      </c>
      <c r="D222" t="s">
        <v>34</v>
      </c>
      <c r="E222" t="s">
        <v>35</v>
      </c>
      <c r="F222">
        <v>13</v>
      </c>
      <c r="G222">
        <v>23903</v>
      </c>
      <c r="H222">
        <v>5</v>
      </c>
      <c r="I222" s="1">
        <v>46124</v>
      </c>
      <c r="J222" s="1">
        <v>46125</v>
      </c>
      <c r="K222" t="s">
        <v>29</v>
      </c>
    </row>
    <row r="223" spans="1:11" x14ac:dyDescent="0.3">
      <c r="A223">
        <v>1303</v>
      </c>
      <c r="B223" t="s">
        <v>57</v>
      </c>
      <c r="C223" t="s">
        <v>38</v>
      </c>
      <c r="D223" t="s">
        <v>34</v>
      </c>
      <c r="E223" t="s">
        <v>35</v>
      </c>
      <c r="F223">
        <v>13</v>
      </c>
      <c r="G223">
        <v>5170</v>
      </c>
      <c r="H223">
        <v>2</v>
      </c>
      <c r="I223" s="1">
        <v>46124</v>
      </c>
      <c r="J223" s="1">
        <v>46127</v>
      </c>
      <c r="K223" t="s">
        <v>15</v>
      </c>
    </row>
    <row r="224" spans="1:11" x14ac:dyDescent="0.3">
      <c r="A224">
        <v>1225</v>
      </c>
      <c r="B224" t="s">
        <v>42</v>
      </c>
      <c r="C224" t="s">
        <v>31</v>
      </c>
      <c r="D224" t="s">
        <v>34</v>
      </c>
      <c r="E224" t="s">
        <v>35</v>
      </c>
      <c r="F224">
        <v>16</v>
      </c>
      <c r="G224">
        <v>32262</v>
      </c>
      <c r="H224">
        <v>12</v>
      </c>
      <c r="I224" s="1">
        <v>46125</v>
      </c>
      <c r="J224" s="1">
        <v>46126</v>
      </c>
      <c r="K224" t="s">
        <v>20</v>
      </c>
    </row>
    <row r="225" spans="1:11" x14ac:dyDescent="0.3">
      <c r="A225">
        <v>1130</v>
      </c>
      <c r="B225" t="s">
        <v>48</v>
      </c>
      <c r="C225" t="s">
        <v>33</v>
      </c>
      <c r="D225" t="s">
        <v>13</v>
      </c>
      <c r="E225" t="s">
        <v>14</v>
      </c>
      <c r="F225">
        <v>12</v>
      </c>
      <c r="G225">
        <v>50</v>
      </c>
      <c r="H225">
        <v>2</v>
      </c>
      <c r="I225" s="1">
        <v>46125</v>
      </c>
      <c r="J225" s="1">
        <v>46131</v>
      </c>
      <c r="K225" t="s">
        <v>24</v>
      </c>
    </row>
    <row r="226" spans="1:11" x14ac:dyDescent="0.3">
      <c r="A226">
        <v>1073</v>
      </c>
      <c r="B226" t="s">
        <v>58</v>
      </c>
      <c r="C226" t="s">
        <v>17</v>
      </c>
      <c r="D226" t="s">
        <v>18</v>
      </c>
      <c r="E226" t="s">
        <v>56</v>
      </c>
      <c r="F226">
        <v>4</v>
      </c>
      <c r="G226">
        <v>2453</v>
      </c>
      <c r="H226">
        <v>7</v>
      </c>
      <c r="I226" s="1">
        <v>46126</v>
      </c>
      <c r="J226" s="1">
        <v>46129</v>
      </c>
      <c r="K226" t="s">
        <v>51</v>
      </c>
    </row>
    <row r="227" spans="1:11" x14ac:dyDescent="0.3">
      <c r="A227">
        <v>1098</v>
      </c>
      <c r="B227" t="s">
        <v>26</v>
      </c>
      <c r="C227" t="s">
        <v>25</v>
      </c>
      <c r="D227" t="s">
        <v>13</v>
      </c>
      <c r="E227" t="s">
        <v>53</v>
      </c>
      <c r="F227">
        <v>17</v>
      </c>
      <c r="G227">
        <v>345</v>
      </c>
      <c r="H227">
        <v>2</v>
      </c>
      <c r="I227" s="1">
        <v>46126</v>
      </c>
      <c r="J227" s="1">
        <v>46127</v>
      </c>
      <c r="K227" t="s">
        <v>51</v>
      </c>
    </row>
    <row r="228" spans="1:11" x14ac:dyDescent="0.3">
      <c r="A228">
        <v>1329</v>
      </c>
      <c r="B228" t="s">
        <v>30</v>
      </c>
      <c r="C228" t="s">
        <v>43</v>
      </c>
      <c r="D228" t="s">
        <v>13</v>
      </c>
      <c r="E228" t="s">
        <v>53</v>
      </c>
      <c r="F228">
        <v>18</v>
      </c>
      <c r="G228">
        <v>227</v>
      </c>
      <c r="H228">
        <v>5</v>
      </c>
      <c r="I228" s="1">
        <v>46126</v>
      </c>
      <c r="J228" s="1">
        <v>46136</v>
      </c>
      <c r="K228" t="s">
        <v>29</v>
      </c>
    </row>
    <row r="229" spans="1:11" x14ac:dyDescent="0.3">
      <c r="A229">
        <v>1358</v>
      </c>
      <c r="B229" t="s">
        <v>40</v>
      </c>
      <c r="C229" t="s">
        <v>38</v>
      </c>
      <c r="D229" t="s">
        <v>18</v>
      </c>
      <c r="E229" t="s">
        <v>19</v>
      </c>
      <c r="F229">
        <v>7</v>
      </c>
      <c r="G229">
        <v>6618</v>
      </c>
      <c r="H229">
        <v>0</v>
      </c>
      <c r="I229" s="1">
        <v>46127</v>
      </c>
      <c r="J229" s="1">
        <v>46129</v>
      </c>
      <c r="K229" t="s">
        <v>20</v>
      </c>
    </row>
    <row r="230" spans="1:11" x14ac:dyDescent="0.3">
      <c r="A230">
        <v>1050</v>
      </c>
      <c r="B230" t="s">
        <v>32</v>
      </c>
      <c r="C230" t="s">
        <v>25</v>
      </c>
      <c r="D230" t="s">
        <v>13</v>
      </c>
      <c r="E230" t="s">
        <v>53</v>
      </c>
      <c r="F230">
        <v>12</v>
      </c>
      <c r="G230">
        <v>360</v>
      </c>
      <c r="H230">
        <v>5</v>
      </c>
      <c r="I230" s="1">
        <v>46127</v>
      </c>
      <c r="J230" s="1">
        <v>46137</v>
      </c>
      <c r="K230" t="s">
        <v>29</v>
      </c>
    </row>
    <row r="231" spans="1:11" x14ac:dyDescent="0.3">
      <c r="A231">
        <v>1380</v>
      </c>
      <c r="B231" t="s">
        <v>52</v>
      </c>
      <c r="C231" t="s">
        <v>43</v>
      </c>
      <c r="D231" t="s">
        <v>13</v>
      </c>
      <c r="E231" t="s">
        <v>53</v>
      </c>
      <c r="F231">
        <v>3</v>
      </c>
      <c r="G231">
        <v>412</v>
      </c>
      <c r="H231">
        <v>7</v>
      </c>
      <c r="I231" s="1">
        <v>46128</v>
      </c>
      <c r="J231" s="1">
        <v>46138</v>
      </c>
      <c r="K231" t="s">
        <v>24</v>
      </c>
    </row>
    <row r="232" spans="1:11" x14ac:dyDescent="0.3">
      <c r="A232">
        <v>1308</v>
      </c>
      <c r="B232" t="s">
        <v>30</v>
      </c>
      <c r="C232" t="s">
        <v>22</v>
      </c>
      <c r="D232" t="s">
        <v>34</v>
      </c>
      <c r="E232" t="s">
        <v>41</v>
      </c>
      <c r="F232">
        <v>12</v>
      </c>
      <c r="G232">
        <v>66075</v>
      </c>
      <c r="H232">
        <v>5</v>
      </c>
      <c r="I232" s="1">
        <v>46129</v>
      </c>
      <c r="J232" s="1">
        <v>46135</v>
      </c>
      <c r="K232" t="s">
        <v>20</v>
      </c>
    </row>
    <row r="233" spans="1:11" x14ac:dyDescent="0.3">
      <c r="A233">
        <v>1014</v>
      </c>
      <c r="B233" t="s">
        <v>40</v>
      </c>
      <c r="C233" t="s">
        <v>17</v>
      </c>
      <c r="D233" t="s">
        <v>34</v>
      </c>
      <c r="E233" t="s">
        <v>41</v>
      </c>
      <c r="F233">
        <v>19</v>
      </c>
      <c r="G233">
        <v>53683</v>
      </c>
      <c r="H233">
        <v>12</v>
      </c>
      <c r="I233" s="1">
        <v>46129</v>
      </c>
      <c r="J233" s="1">
        <v>46134</v>
      </c>
      <c r="K233" t="s">
        <v>29</v>
      </c>
    </row>
    <row r="234" spans="1:11" x14ac:dyDescent="0.3">
      <c r="A234">
        <v>1071</v>
      </c>
      <c r="B234" t="s">
        <v>59</v>
      </c>
      <c r="C234" t="s">
        <v>22</v>
      </c>
      <c r="D234" t="s">
        <v>34</v>
      </c>
      <c r="E234" t="s">
        <v>61</v>
      </c>
      <c r="F234">
        <v>18</v>
      </c>
      <c r="G234">
        <v>32197</v>
      </c>
      <c r="H234">
        <v>5</v>
      </c>
      <c r="I234" s="1">
        <v>46129</v>
      </c>
      <c r="J234" s="1">
        <v>46137</v>
      </c>
      <c r="K234" t="s">
        <v>20</v>
      </c>
    </row>
    <row r="235" spans="1:11" x14ac:dyDescent="0.3">
      <c r="A235">
        <v>1194</v>
      </c>
      <c r="B235" t="s">
        <v>57</v>
      </c>
      <c r="C235" t="s">
        <v>43</v>
      </c>
      <c r="D235" t="s">
        <v>18</v>
      </c>
      <c r="E235" t="s">
        <v>28</v>
      </c>
      <c r="F235">
        <v>13</v>
      </c>
      <c r="G235">
        <v>12856</v>
      </c>
      <c r="H235">
        <v>15</v>
      </c>
      <c r="I235" s="1">
        <v>46129</v>
      </c>
      <c r="J235" s="1">
        <v>46133</v>
      </c>
      <c r="K235" t="s">
        <v>51</v>
      </c>
    </row>
    <row r="236" spans="1:11" x14ac:dyDescent="0.3">
      <c r="A236">
        <v>1269</v>
      </c>
      <c r="B236" t="s">
        <v>52</v>
      </c>
      <c r="C236" t="s">
        <v>43</v>
      </c>
      <c r="D236" t="s">
        <v>18</v>
      </c>
      <c r="E236" t="s">
        <v>19</v>
      </c>
      <c r="F236">
        <v>14</v>
      </c>
      <c r="G236">
        <v>5704</v>
      </c>
      <c r="H236">
        <v>2</v>
      </c>
      <c r="I236" s="1">
        <v>46129</v>
      </c>
      <c r="J236" s="1">
        <v>46131</v>
      </c>
      <c r="K236" t="s">
        <v>15</v>
      </c>
    </row>
    <row r="237" spans="1:11" x14ac:dyDescent="0.3">
      <c r="A237">
        <v>1267</v>
      </c>
      <c r="B237" t="s">
        <v>27</v>
      </c>
      <c r="C237" t="s">
        <v>38</v>
      </c>
      <c r="D237" t="s">
        <v>13</v>
      </c>
      <c r="E237" t="s">
        <v>50</v>
      </c>
      <c r="F237">
        <v>1</v>
      </c>
      <c r="G237">
        <v>50</v>
      </c>
      <c r="H237">
        <v>0</v>
      </c>
      <c r="I237" s="1">
        <v>46129</v>
      </c>
      <c r="J237" s="1">
        <v>46138</v>
      </c>
      <c r="K237" t="s">
        <v>20</v>
      </c>
    </row>
    <row r="238" spans="1:11" x14ac:dyDescent="0.3">
      <c r="A238">
        <v>1382</v>
      </c>
      <c r="B238" t="s">
        <v>49</v>
      </c>
      <c r="C238" t="s">
        <v>33</v>
      </c>
      <c r="D238" t="s">
        <v>34</v>
      </c>
      <c r="E238" t="s">
        <v>60</v>
      </c>
      <c r="F238">
        <v>11</v>
      </c>
      <c r="G238">
        <v>36198</v>
      </c>
      <c r="H238">
        <v>0</v>
      </c>
      <c r="I238" s="1">
        <v>46130</v>
      </c>
      <c r="J238" s="1">
        <v>46134</v>
      </c>
      <c r="K238" t="s">
        <v>15</v>
      </c>
    </row>
    <row r="239" spans="1:11" x14ac:dyDescent="0.3">
      <c r="A239">
        <v>1263</v>
      </c>
      <c r="B239" t="s">
        <v>29</v>
      </c>
      <c r="C239" t="s">
        <v>38</v>
      </c>
      <c r="D239" t="s">
        <v>18</v>
      </c>
      <c r="E239" t="s">
        <v>28</v>
      </c>
      <c r="F239">
        <v>10</v>
      </c>
      <c r="G239">
        <v>1505</v>
      </c>
      <c r="H239">
        <v>0</v>
      </c>
      <c r="I239" s="1">
        <v>46130</v>
      </c>
      <c r="J239" s="1">
        <v>46138</v>
      </c>
      <c r="K239" t="s">
        <v>51</v>
      </c>
    </row>
    <row r="240" spans="1:11" x14ac:dyDescent="0.3">
      <c r="A240">
        <v>1168</v>
      </c>
      <c r="B240" t="s">
        <v>54</v>
      </c>
      <c r="C240" t="s">
        <v>12</v>
      </c>
      <c r="D240" t="s">
        <v>13</v>
      </c>
      <c r="E240" t="s">
        <v>37</v>
      </c>
      <c r="F240">
        <v>18</v>
      </c>
      <c r="G240">
        <v>335</v>
      </c>
      <c r="H240">
        <v>15</v>
      </c>
      <c r="I240" s="1">
        <v>46130</v>
      </c>
      <c r="J240" s="1">
        <v>46140</v>
      </c>
      <c r="K240" t="s">
        <v>29</v>
      </c>
    </row>
    <row r="241" spans="1:11" x14ac:dyDescent="0.3">
      <c r="A241">
        <v>1215</v>
      </c>
      <c r="B241" t="s">
        <v>27</v>
      </c>
      <c r="C241" t="s">
        <v>12</v>
      </c>
      <c r="D241" t="s">
        <v>18</v>
      </c>
      <c r="E241" t="s">
        <v>28</v>
      </c>
      <c r="F241">
        <v>6</v>
      </c>
      <c r="G241">
        <v>1254</v>
      </c>
      <c r="H241">
        <v>0</v>
      </c>
      <c r="I241" s="1">
        <v>46131</v>
      </c>
      <c r="J241" s="1">
        <v>46136</v>
      </c>
      <c r="K241" t="s">
        <v>29</v>
      </c>
    </row>
    <row r="242" spans="1:11" x14ac:dyDescent="0.3">
      <c r="A242">
        <v>1122</v>
      </c>
      <c r="B242" t="s">
        <v>40</v>
      </c>
      <c r="C242" t="s">
        <v>22</v>
      </c>
      <c r="D242" t="s">
        <v>34</v>
      </c>
      <c r="E242" t="s">
        <v>39</v>
      </c>
      <c r="F242">
        <v>14</v>
      </c>
      <c r="G242">
        <v>49990</v>
      </c>
      <c r="H242">
        <v>10</v>
      </c>
      <c r="I242" s="1">
        <v>46132</v>
      </c>
      <c r="J242" s="1">
        <v>46135</v>
      </c>
      <c r="K242" t="s">
        <v>29</v>
      </c>
    </row>
    <row r="243" spans="1:11" x14ac:dyDescent="0.3">
      <c r="A243">
        <v>1342</v>
      </c>
      <c r="B243" t="s">
        <v>59</v>
      </c>
      <c r="C243" t="s">
        <v>31</v>
      </c>
      <c r="D243" t="s">
        <v>34</v>
      </c>
      <c r="E243" t="s">
        <v>35</v>
      </c>
      <c r="F243">
        <v>13</v>
      </c>
      <c r="G243">
        <v>47881</v>
      </c>
      <c r="H243">
        <v>15</v>
      </c>
      <c r="I243" s="1">
        <v>46132</v>
      </c>
      <c r="J243" s="1">
        <v>46139</v>
      </c>
      <c r="K243" t="s">
        <v>29</v>
      </c>
    </row>
    <row r="244" spans="1:11" x14ac:dyDescent="0.3">
      <c r="A244">
        <v>1080</v>
      </c>
      <c r="B244" t="s">
        <v>21</v>
      </c>
      <c r="C244" t="s">
        <v>22</v>
      </c>
      <c r="D244" t="s">
        <v>34</v>
      </c>
      <c r="E244" t="s">
        <v>41</v>
      </c>
      <c r="F244">
        <v>12</v>
      </c>
      <c r="G244">
        <v>54161</v>
      </c>
      <c r="H244">
        <v>15</v>
      </c>
      <c r="I244" s="1">
        <v>46133</v>
      </c>
      <c r="J244" s="1">
        <v>46143</v>
      </c>
      <c r="K244" t="s">
        <v>24</v>
      </c>
    </row>
    <row r="245" spans="1:11" x14ac:dyDescent="0.3">
      <c r="A245">
        <v>1111</v>
      </c>
      <c r="B245" t="s">
        <v>47</v>
      </c>
      <c r="C245" t="s">
        <v>17</v>
      </c>
      <c r="D245" t="s">
        <v>34</v>
      </c>
      <c r="E245" t="s">
        <v>35</v>
      </c>
      <c r="F245">
        <v>5</v>
      </c>
      <c r="G245">
        <v>49945</v>
      </c>
      <c r="H245">
        <v>12</v>
      </c>
      <c r="I245" s="1">
        <v>46133</v>
      </c>
      <c r="J245" s="1">
        <v>46141</v>
      </c>
      <c r="K245" t="s">
        <v>29</v>
      </c>
    </row>
    <row r="246" spans="1:11" x14ac:dyDescent="0.3">
      <c r="A246">
        <v>1056</v>
      </c>
      <c r="B246" t="s">
        <v>11</v>
      </c>
      <c r="C246" t="s">
        <v>22</v>
      </c>
      <c r="D246" t="s">
        <v>18</v>
      </c>
      <c r="E246" t="s">
        <v>19</v>
      </c>
      <c r="F246">
        <v>3</v>
      </c>
      <c r="G246">
        <v>9771</v>
      </c>
      <c r="H246">
        <v>5</v>
      </c>
      <c r="I246" s="1">
        <v>46133</v>
      </c>
      <c r="J246" s="1">
        <v>46139</v>
      </c>
      <c r="K246" t="s">
        <v>24</v>
      </c>
    </row>
    <row r="247" spans="1:11" x14ac:dyDescent="0.3">
      <c r="A247">
        <v>1357</v>
      </c>
      <c r="B247" t="s">
        <v>59</v>
      </c>
      <c r="C247" t="s">
        <v>25</v>
      </c>
      <c r="D247" t="s">
        <v>13</v>
      </c>
      <c r="E247" t="s">
        <v>37</v>
      </c>
      <c r="F247">
        <v>6</v>
      </c>
      <c r="G247">
        <v>365</v>
      </c>
      <c r="H247">
        <v>7</v>
      </c>
      <c r="I247" s="1">
        <v>46133</v>
      </c>
      <c r="J247" s="1">
        <v>46140</v>
      </c>
      <c r="K247" t="s">
        <v>51</v>
      </c>
    </row>
    <row r="248" spans="1:11" x14ac:dyDescent="0.3">
      <c r="A248">
        <v>1125</v>
      </c>
      <c r="B248" t="s">
        <v>49</v>
      </c>
      <c r="C248" t="s">
        <v>33</v>
      </c>
      <c r="D248" t="s">
        <v>13</v>
      </c>
      <c r="E248" t="s">
        <v>14</v>
      </c>
      <c r="F248">
        <v>6</v>
      </c>
      <c r="G248">
        <v>30</v>
      </c>
      <c r="H248">
        <v>2</v>
      </c>
      <c r="I248" s="1">
        <v>46133</v>
      </c>
      <c r="J248" s="1">
        <v>46138</v>
      </c>
      <c r="K248" t="s">
        <v>24</v>
      </c>
    </row>
    <row r="249" spans="1:11" x14ac:dyDescent="0.3">
      <c r="A249">
        <v>1200</v>
      </c>
      <c r="B249" t="s">
        <v>29</v>
      </c>
      <c r="C249" t="s">
        <v>31</v>
      </c>
      <c r="D249" t="s">
        <v>34</v>
      </c>
      <c r="E249" t="s">
        <v>45</v>
      </c>
      <c r="F249">
        <v>13</v>
      </c>
      <c r="G249">
        <v>69422</v>
      </c>
      <c r="H249">
        <v>0</v>
      </c>
      <c r="I249" s="1">
        <v>46134</v>
      </c>
      <c r="J249" s="1">
        <v>46143</v>
      </c>
      <c r="K249" t="s">
        <v>29</v>
      </c>
    </row>
    <row r="250" spans="1:11" x14ac:dyDescent="0.3">
      <c r="A250">
        <v>1270</v>
      </c>
      <c r="B250" t="s">
        <v>49</v>
      </c>
      <c r="C250" t="s">
        <v>43</v>
      </c>
      <c r="D250" t="s">
        <v>34</v>
      </c>
      <c r="E250" t="s">
        <v>35</v>
      </c>
      <c r="F250">
        <v>16</v>
      </c>
      <c r="G250">
        <v>62941</v>
      </c>
      <c r="H250">
        <v>7</v>
      </c>
      <c r="I250" s="1">
        <v>46135</v>
      </c>
      <c r="J250" s="1">
        <v>46141</v>
      </c>
      <c r="K250" t="s">
        <v>51</v>
      </c>
    </row>
    <row r="251" spans="1:11" x14ac:dyDescent="0.3">
      <c r="A251">
        <v>1216</v>
      </c>
      <c r="B251" t="s">
        <v>40</v>
      </c>
      <c r="C251" t="s">
        <v>22</v>
      </c>
      <c r="D251" t="s">
        <v>34</v>
      </c>
      <c r="E251" t="s">
        <v>45</v>
      </c>
      <c r="F251">
        <v>10</v>
      </c>
      <c r="G251">
        <v>56709</v>
      </c>
      <c r="H251">
        <v>15</v>
      </c>
      <c r="I251" s="1">
        <v>46135</v>
      </c>
      <c r="J251" s="1">
        <v>46139</v>
      </c>
      <c r="K251" t="s">
        <v>29</v>
      </c>
    </row>
    <row r="252" spans="1:11" x14ac:dyDescent="0.3">
      <c r="A252">
        <v>1091</v>
      </c>
      <c r="B252" t="s">
        <v>55</v>
      </c>
      <c r="C252" t="s">
        <v>17</v>
      </c>
      <c r="D252" t="s">
        <v>13</v>
      </c>
      <c r="E252" t="s">
        <v>53</v>
      </c>
      <c r="F252">
        <v>2</v>
      </c>
      <c r="G252">
        <v>305</v>
      </c>
      <c r="H252">
        <v>0</v>
      </c>
      <c r="I252" s="1">
        <v>46136</v>
      </c>
      <c r="J252" s="1">
        <v>46144</v>
      </c>
      <c r="K252" t="s">
        <v>15</v>
      </c>
    </row>
    <row r="253" spans="1:11" x14ac:dyDescent="0.3">
      <c r="A253">
        <v>1016</v>
      </c>
      <c r="B253" t="s">
        <v>32</v>
      </c>
      <c r="C253" t="s">
        <v>33</v>
      </c>
      <c r="D253" t="s">
        <v>34</v>
      </c>
      <c r="E253" t="s">
        <v>45</v>
      </c>
      <c r="F253">
        <v>16</v>
      </c>
      <c r="G253">
        <v>30234</v>
      </c>
      <c r="H253">
        <v>15</v>
      </c>
      <c r="I253" s="1">
        <v>46137</v>
      </c>
      <c r="J253" s="1">
        <v>46140</v>
      </c>
      <c r="K253" t="s">
        <v>24</v>
      </c>
    </row>
    <row r="254" spans="1:11" x14ac:dyDescent="0.3">
      <c r="A254">
        <v>1237</v>
      </c>
      <c r="B254" t="s">
        <v>46</v>
      </c>
      <c r="C254" t="s">
        <v>38</v>
      </c>
      <c r="D254" t="s">
        <v>18</v>
      </c>
      <c r="E254" t="s">
        <v>56</v>
      </c>
      <c r="F254">
        <v>8</v>
      </c>
      <c r="G254">
        <v>12123</v>
      </c>
      <c r="H254">
        <v>2</v>
      </c>
      <c r="I254" s="1">
        <v>46137</v>
      </c>
      <c r="J254" s="1">
        <v>46145</v>
      </c>
      <c r="K254" t="s">
        <v>15</v>
      </c>
    </row>
    <row r="255" spans="1:11" x14ac:dyDescent="0.3">
      <c r="A255">
        <v>1258</v>
      </c>
      <c r="B255" t="s">
        <v>32</v>
      </c>
      <c r="C255" t="s">
        <v>31</v>
      </c>
      <c r="D255" t="s">
        <v>34</v>
      </c>
      <c r="E255" t="s">
        <v>60</v>
      </c>
      <c r="F255">
        <v>1</v>
      </c>
      <c r="G255">
        <v>10600</v>
      </c>
      <c r="H255">
        <v>5</v>
      </c>
      <c r="I255" s="1">
        <v>46137</v>
      </c>
      <c r="J255" s="1">
        <v>46138</v>
      </c>
      <c r="K255" t="s">
        <v>29</v>
      </c>
    </row>
    <row r="256" spans="1:11" x14ac:dyDescent="0.3">
      <c r="A256">
        <v>1188</v>
      </c>
      <c r="B256" t="s">
        <v>29</v>
      </c>
      <c r="C256" t="s">
        <v>22</v>
      </c>
      <c r="D256" t="s">
        <v>18</v>
      </c>
      <c r="E256" t="s">
        <v>56</v>
      </c>
      <c r="F256">
        <v>6</v>
      </c>
      <c r="G256">
        <v>10368</v>
      </c>
      <c r="H256">
        <v>7</v>
      </c>
      <c r="I256" s="1">
        <v>46137</v>
      </c>
      <c r="J256" s="1">
        <v>46142</v>
      </c>
      <c r="K256" t="s">
        <v>15</v>
      </c>
    </row>
    <row r="257" spans="1:11" x14ac:dyDescent="0.3">
      <c r="A257">
        <v>1291</v>
      </c>
      <c r="B257" t="s">
        <v>21</v>
      </c>
      <c r="C257" t="s">
        <v>17</v>
      </c>
      <c r="D257" t="s">
        <v>13</v>
      </c>
      <c r="E257" t="s">
        <v>36</v>
      </c>
      <c r="F257">
        <v>17</v>
      </c>
      <c r="G257">
        <v>415</v>
      </c>
      <c r="H257">
        <v>5</v>
      </c>
      <c r="I257" s="1">
        <v>46137</v>
      </c>
      <c r="J257" s="1">
        <v>46141</v>
      </c>
      <c r="K257" t="s">
        <v>20</v>
      </c>
    </row>
    <row r="258" spans="1:11" x14ac:dyDescent="0.3">
      <c r="A258">
        <v>1144</v>
      </c>
      <c r="B258" t="s">
        <v>42</v>
      </c>
      <c r="C258" t="s">
        <v>25</v>
      </c>
      <c r="D258" t="s">
        <v>13</v>
      </c>
      <c r="E258" t="s">
        <v>14</v>
      </c>
      <c r="F258">
        <v>16</v>
      </c>
      <c r="G258">
        <v>219</v>
      </c>
      <c r="H258">
        <v>7</v>
      </c>
      <c r="I258" s="1">
        <v>46138</v>
      </c>
      <c r="J258" s="1">
        <v>46140</v>
      </c>
      <c r="K258" t="s">
        <v>20</v>
      </c>
    </row>
    <row r="259" spans="1:11" x14ac:dyDescent="0.3">
      <c r="A259">
        <v>1214</v>
      </c>
      <c r="B259" t="s">
        <v>42</v>
      </c>
      <c r="C259" t="s">
        <v>25</v>
      </c>
      <c r="D259" t="s">
        <v>18</v>
      </c>
      <c r="E259" t="s">
        <v>28</v>
      </c>
      <c r="F259">
        <v>19</v>
      </c>
      <c r="G259">
        <v>13832</v>
      </c>
      <c r="H259">
        <v>0</v>
      </c>
      <c r="I259" s="1">
        <v>46140</v>
      </c>
      <c r="J259" s="1">
        <v>46145</v>
      </c>
      <c r="K259" t="s">
        <v>51</v>
      </c>
    </row>
    <row r="260" spans="1:11" x14ac:dyDescent="0.3">
      <c r="A260">
        <v>1346</v>
      </c>
      <c r="B260" t="s">
        <v>32</v>
      </c>
      <c r="C260" t="s">
        <v>22</v>
      </c>
      <c r="D260" t="s">
        <v>18</v>
      </c>
      <c r="E260" t="s">
        <v>19</v>
      </c>
      <c r="F260">
        <v>16</v>
      </c>
      <c r="G260">
        <v>6910</v>
      </c>
      <c r="H260">
        <v>15</v>
      </c>
      <c r="I260" s="1">
        <v>46140</v>
      </c>
      <c r="J260" s="1">
        <v>46142</v>
      </c>
      <c r="K260" t="s">
        <v>29</v>
      </c>
    </row>
    <row r="261" spans="1:11" x14ac:dyDescent="0.3">
      <c r="A261">
        <v>1101</v>
      </c>
      <c r="B261" t="s">
        <v>27</v>
      </c>
      <c r="C261" t="s">
        <v>22</v>
      </c>
      <c r="D261" t="s">
        <v>34</v>
      </c>
      <c r="E261" t="s">
        <v>61</v>
      </c>
      <c r="F261">
        <v>9</v>
      </c>
      <c r="G261">
        <v>37361</v>
      </c>
      <c r="H261">
        <v>10</v>
      </c>
      <c r="I261" s="1">
        <v>46141</v>
      </c>
      <c r="J261" s="1">
        <v>46142</v>
      </c>
      <c r="K261" t="s">
        <v>24</v>
      </c>
    </row>
    <row r="262" spans="1:11" x14ac:dyDescent="0.3">
      <c r="A262">
        <v>1322</v>
      </c>
      <c r="B262" t="s">
        <v>27</v>
      </c>
      <c r="C262" t="s">
        <v>12</v>
      </c>
      <c r="D262" t="s">
        <v>18</v>
      </c>
      <c r="E262" t="s">
        <v>23</v>
      </c>
      <c r="F262">
        <v>14</v>
      </c>
      <c r="G262">
        <v>9081</v>
      </c>
      <c r="H262">
        <v>15</v>
      </c>
      <c r="I262" s="1">
        <v>46141</v>
      </c>
      <c r="J262" s="1">
        <v>46146</v>
      </c>
      <c r="K262" t="s">
        <v>15</v>
      </c>
    </row>
    <row r="263" spans="1:11" x14ac:dyDescent="0.3">
      <c r="A263">
        <v>1361</v>
      </c>
      <c r="B263" t="s">
        <v>42</v>
      </c>
      <c r="C263" t="s">
        <v>17</v>
      </c>
      <c r="D263" t="s">
        <v>18</v>
      </c>
      <c r="E263" t="s">
        <v>23</v>
      </c>
      <c r="F263">
        <v>2</v>
      </c>
      <c r="G263">
        <v>1822</v>
      </c>
      <c r="H263">
        <v>5</v>
      </c>
      <c r="I263" s="1">
        <v>46141</v>
      </c>
      <c r="J263" s="1">
        <v>46145</v>
      </c>
      <c r="K263" t="s">
        <v>20</v>
      </c>
    </row>
    <row r="264" spans="1:11" x14ac:dyDescent="0.3">
      <c r="A264">
        <v>1254</v>
      </c>
      <c r="B264" t="s">
        <v>52</v>
      </c>
      <c r="C264" t="s">
        <v>22</v>
      </c>
      <c r="D264" t="s">
        <v>13</v>
      </c>
      <c r="E264" t="s">
        <v>50</v>
      </c>
      <c r="F264">
        <v>18</v>
      </c>
      <c r="G264">
        <v>447</v>
      </c>
      <c r="H264">
        <v>15</v>
      </c>
      <c r="I264" s="1">
        <v>46141</v>
      </c>
      <c r="J264" s="1">
        <v>46149</v>
      </c>
      <c r="K264" t="s">
        <v>24</v>
      </c>
    </row>
    <row r="265" spans="1:11" x14ac:dyDescent="0.3">
      <c r="A265">
        <v>1160</v>
      </c>
      <c r="B265" t="s">
        <v>59</v>
      </c>
      <c r="C265" t="s">
        <v>22</v>
      </c>
      <c r="D265" t="s">
        <v>34</v>
      </c>
      <c r="E265" t="s">
        <v>39</v>
      </c>
      <c r="F265">
        <v>7</v>
      </c>
      <c r="G265">
        <v>53986</v>
      </c>
      <c r="H265">
        <v>10</v>
      </c>
      <c r="I265" s="1">
        <v>46142</v>
      </c>
      <c r="J265" s="1">
        <v>46147</v>
      </c>
      <c r="K265" t="s">
        <v>51</v>
      </c>
    </row>
    <row r="266" spans="1:11" x14ac:dyDescent="0.3">
      <c r="A266">
        <v>1240</v>
      </c>
      <c r="B266" t="s">
        <v>55</v>
      </c>
      <c r="C266" t="s">
        <v>33</v>
      </c>
      <c r="D266" t="s">
        <v>18</v>
      </c>
      <c r="E266" t="s">
        <v>23</v>
      </c>
      <c r="F266">
        <v>2</v>
      </c>
      <c r="G266">
        <v>5475</v>
      </c>
      <c r="H266">
        <v>2</v>
      </c>
      <c r="I266" s="1">
        <v>46142</v>
      </c>
      <c r="J266" s="1">
        <v>46146</v>
      </c>
      <c r="K266" t="s">
        <v>29</v>
      </c>
    </row>
    <row r="267" spans="1:11" x14ac:dyDescent="0.3">
      <c r="A267">
        <v>1339</v>
      </c>
      <c r="B267" t="s">
        <v>32</v>
      </c>
      <c r="C267" t="s">
        <v>25</v>
      </c>
      <c r="D267" t="s">
        <v>13</v>
      </c>
      <c r="E267" t="s">
        <v>14</v>
      </c>
      <c r="F267">
        <v>6</v>
      </c>
      <c r="G267">
        <v>302</v>
      </c>
      <c r="H267">
        <v>5</v>
      </c>
      <c r="I267" s="1">
        <v>46142</v>
      </c>
      <c r="J267" s="1">
        <v>46148</v>
      </c>
      <c r="K267" t="s">
        <v>20</v>
      </c>
    </row>
    <row r="268" spans="1:11" x14ac:dyDescent="0.3">
      <c r="A268">
        <v>1150</v>
      </c>
      <c r="B268" t="s">
        <v>42</v>
      </c>
      <c r="C268" t="s">
        <v>12</v>
      </c>
      <c r="D268" t="s">
        <v>18</v>
      </c>
      <c r="E268" t="s">
        <v>56</v>
      </c>
      <c r="F268">
        <v>10</v>
      </c>
      <c r="G268">
        <v>5323</v>
      </c>
      <c r="H268">
        <v>7</v>
      </c>
      <c r="I268" s="1">
        <v>46143</v>
      </c>
      <c r="J268" s="1">
        <v>46153</v>
      </c>
      <c r="K268" t="s">
        <v>24</v>
      </c>
    </row>
    <row r="269" spans="1:11" x14ac:dyDescent="0.3">
      <c r="A269">
        <v>1218</v>
      </c>
      <c r="B269" t="s">
        <v>55</v>
      </c>
      <c r="C269" t="s">
        <v>38</v>
      </c>
      <c r="D269" t="s">
        <v>13</v>
      </c>
      <c r="E269" t="s">
        <v>14</v>
      </c>
      <c r="F269">
        <v>1</v>
      </c>
      <c r="G269">
        <v>134</v>
      </c>
      <c r="H269">
        <v>10</v>
      </c>
      <c r="I269" s="1">
        <v>46143</v>
      </c>
      <c r="J269" s="1">
        <v>46151</v>
      </c>
      <c r="K269" t="s">
        <v>51</v>
      </c>
    </row>
    <row r="270" spans="1:11" x14ac:dyDescent="0.3">
      <c r="A270">
        <v>1021</v>
      </c>
      <c r="B270" t="s">
        <v>48</v>
      </c>
      <c r="C270" t="s">
        <v>43</v>
      </c>
      <c r="D270" t="s">
        <v>13</v>
      </c>
      <c r="E270" t="s">
        <v>14</v>
      </c>
      <c r="F270">
        <v>3</v>
      </c>
      <c r="G270">
        <v>484</v>
      </c>
      <c r="H270">
        <v>2</v>
      </c>
      <c r="I270" s="1">
        <v>46144</v>
      </c>
      <c r="J270" s="1">
        <v>46148</v>
      </c>
      <c r="K270" t="s">
        <v>24</v>
      </c>
    </row>
    <row r="271" spans="1:11" x14ac:dyDescent="0.3">
      <c r="A271">
        <v>1184</v>
      </c>
      <c r="B271" t="s">
        <v>40</v>
      </c>
      <c r="C271" t="s">
        <v>31</v>
      </c>
      <c r="D271" t="s">
        <v>34</v>
      </c>
      <c r="E271" t="s">
        <v>39</v>
      </c>
      <c r="F271">
        <v>12</v>
      </c>
      <c r="G271">
        <v>50517</v>
      </c>
      <c r="H271">
        <v>15</v>
      </c>
      <c r="I271" s="1">
        <v>46145</v>
      </c>
      <c r="J271" s="1">
        <v>46153</v>
      </c>
      <c r="K271" t="s">
        <v>29</v>
      </c>
    </row>
    <row r="272" spans="1:11" x14ac:dyDescent="0.3">
      <c r="A272">
        <v>1333</v>
      </c>
      <c r="B272" t="s">
        <v>29</v>
      </c>
      <c r="C272" t="s">
        <v>38</v>
      </c>
      <c r="D272" t="s">
        <v>13</v>
      </c>
      <c r="E272" t="s">
        <v>53</v>
      </c>
      <c r="F272">
        <v>20</v>
      </c>
      <c r="G272">
        <v>416</v>
      </c>
      <c r="H272">
        <v>12</v>
      </c>
      <c r="I272" s="1">
        <v>46145</v>
      </c>
      <c r="J272" s="1">
        <v>46146</v>
      </c>
      <c r="K272" t="s">
        <v>51</v>
      </c>
    </row>
    <row r="273" spans="1:11" x14ac:dyDescent="0.3">
      <c r="A273">
        <v>1085</v>
      </c>
      <c r="B273" t="s">
        <v>32</v>
      </c>
      <c r="C273" t="s">
        <v>38</v>
      </c>
      <c r="D273" t="s">
        <v>34</v>
      </c>
      <c r="E273" t="s">
        <v>60</v>
      </c>
      <c r="F273">
        <v>19</v>
      </c>
      <c r="G273">
        <v>45307</v>
      </c>
      <c r="H273">
        <v>12</v>
      </c>
      <c r="I273" s="1">
        <v>46146</v>
      </c>
      <c r="J273" s="1">
        <v>46150</v>
      </c>
      <c r="K273" t="s">
        <v>24</v>
      </c>
    </row>
    <row r="274" spans="1:11" x14ac:dyDescent="0.3">
      <c r="A274">
        <v>1305</v>
      </c>
      <c r="B274" t="s">
        <v>58</v>
      </c>
      <c r="C274" t="s">
        <v>31</v>
      </c>
      <c r="D274" t="s">
        <v>34</v>
      </c>
      <c r="E274" t="s">
        <v>60</v>
      </c>
      <c r="F274">
        <v>20</v>
      </c>
      <c r="G274">
        <v>31406</v>
      </c>
      <c r="H274">
        <v>15</v>
      </c>
      <c r="I274" s="1">
        <v>46146</v>
      </c>
      <c r="J274" s="1">
        <v>46154</v>
      </c>
      <c r="K274" t="s">
        <v>51</v>
      </c>
    </row>
    <row r="275" spans="1:11" x14ac:dyDescent="0.3">
      <c r="A275">
        <v>1360</v>
      </c>
      <c r="B275" t="s">
        <v>11</v>
      </c>
      <c r="C275" t="s">
        <v>43</v>
      </c>
      <c r="D275" t="s">
        <v>18</v>
      </c>
      <c r="E275" t="s">
        <v>23</v>
      </c>
      <c r="F275">
        <v>19</v>
      </c>
      <c r="G275">
        <v>6681</v>
      </c>
      <c r="H275">
        <v>2</v>
      </c>
      <c r="I275" s="1">
        <v>46146</v>
      </c>
      <c r="J275" s="1">
        <v>46150</v>
      </c>
      <c r="K275" t="s">
        <v>15</v>
      </c>
    </row>
    <row r="276" spans="1:11" x14ac:dyDescent="0.3">
      <c r="A276">
        <v>1117</v>
      </c>
      <c r="B276" t="s">
        <v>55</v>
      </c>
      <c r="C276" t="s">
        <v>43</v>
      </c>
      <c r="D276" t="s">
        <v>34</v>
      </c>
      <c r="E276" t="s">
        <v>39</v>
      </c>
      <c r="F276">
        <v>16</v>
      </c>
      <c r="G276">
        <v>33162</v>
      </c>
      <c r="H276">
        <v>7</v>
      </c>
      <c r="I276" s="1">
        <v>46147</v>
      </c>
      <c r="J276" s="1">
        <v>46155</v>
      </c>
      <c r="K276" t="s">
        <v>29</v>
      </c>
    </row>
    <row r="277" spans="1:11" x14ac:dyDescent="0.3">
      <c r="A277">
        <v>1063</v>
      </c>
      <c r="B277" t="s">
        <v>54</v>
      </c>
      <c r="C277" t="s">
        <v>22</v>
      </c>
      <c r="D277" t="s">
        <v>34</v>
      </c>
      <c r="E277" t="s">
        <v>45</v>
      </c>
      <c r="F277">
        <v>7</v>
      </c>
      <c r="G277">
        <v>66744</v>
      </c>
      <c r="H277">
        <v>7</v>
      </c>
      <c r="I277" s="1">
        <v>46148</v>
      </c>
      <c r="J277" s="1">
        <v>46155</v>
      </c>
      <c r="K277" t="s">
        <v>15</v>
      </c>
    </row>
    <row r="278" spans="1:11" x14ac:dyDescent="0.3">
      <c r="A278">
        <v>1134</v>
      </c>
      <c r="B278" t="s">
        <v>57</v>
      </c>
      <c r="C278" t="s">
        <v>31</v>
      </c>
      <c r="D278" t="s">
        <v>34</v>
      </c>
      <c r="E278" t="s">
        <v>61</v>
      </c>
      <c r="F278">
        <v>10</v>
      </c>
      <c r="G278">
        <v>29217</v>
      </c>
      <c r="H278">
        <v>15</v>
      </c>
      <c r="I278" s="1">
        <v>46148</v>
      </c>
      <c r="J278" s="1">
        <v>46150</v>
      </c>
      <c r="K278" t="s">
        <v>24</v>
      </c>
    </row>
    <row r="279" spans="1:11" x14ac:dyDescent="0.3">
      <c r="A279">
        <v>1312</v>
      </c>
      <c r="B279" t="s">
        <v>57</v>
      </c>
      <c r="C279" t="s">
        <v>22</v>
      </c>
      <c r="D279" t="s">
        <v>18</v>
      </c>
      <c r="E279" t="s">
        <v>56</v>
      </c>
      <c r="F279">
        <v>20</v>
      </c>
      <c r="G279">
        <v>3274</v>
      </c>
      <c r="H279">
        <v>2</v>
      </c>
      <c r="I279" s="1">
        <v>46148</v>
      </c>
      <c r="J279" s="1">
        <v>46156</v>
      </c>
      <c r="K279" t="s">
        <v>24</v>
      </c>
    </row>
    <row r="280" spans="1:11" x14ac:dyDescent="0.3">
      <c r="A280">
        <v>1191</v>
      </c>
      <c r="B280" t="s">
        <v>52</v>
      </c>
      <c r="C280" t="s">
        <v>33</v>
      </c>
      <c r="D280" t="s">
        <v>18</v>
      </c>
      <c r="E280" t="s">
        <v>56</v>
      </c>
      <c r="F280">
        <v>9</v>
      </c>
      <c r="G280">
        <v>8631</v>
      </c>
      <c r="H280">
        <v>10</v>
      </c>
      <c r="I280" s="1">
        <v>46149</v>
      </c>
      <c r="J280" s="1">
        <v>46156</v>
      </c>
      <c r="K280" t="s">
        <v>20</v>
      </c>
    </row>
    <row r="281" spans="1:11" x14ac:dyDescent="0.3">
      <c r="A281">
        <v>1115</v>
      </c>
      <c r="B281" t="s">
        <v>59</v>
      </c>
      <c r="C281" t="s">
        <v>43</v>
      </c>
      <c r="D281" t="s">
        <v>13</v>
      </c>
      <c r="E281" t="s">
        <v>50</v>
      </c>
      <c r="F281">
        <v>9</v>
      </c>
      <c r="G281">
        <v>303</v>
      </c>
      <c r="H281">
        <v>10</v>
      </c>
      <c r="I281" s="1">
        <v>46149</v>
      </c>
      <c r="J281" s="1">
        <v>46157</v>
      </c>
      <c r="K281" t="s">
        <v>29</v>
      </c>
    </row>
    <row r="282" spans="1:11" x14ac:dyDescent="0.3">
      <c r="A282">
        <v>1327</v>
      </c>
      <c r="B282" t="s">
        <v>48</v>
      </c>
      <c r="C282" t="s">
        <v>12</v>
      </c>
      <c r="D282" t="s">
        <v>13</v>
      </c>
      <c r="E282" t="s">
        <v>53</v>
      </c>
      <c r="F282">
        <v>15</v>
      </c>
      <c r="G282">
        <v>449</v>
      </c>
      <c r="H282">
        <v>5</v>
      </c>
      <c r="I282" s="1">
        <v>46152</v>
      </c>
      <c r="J282" s="1">
        <v>46153</v>
      </c>
      <c r="K282" t="s">
        <v>15</v>
      </c>
    </row>
    <row r="283" spans="1:11" x14ac:dyDescent="0.3">
      <c r="A283">
        <v>1046</v>
      </c>
      <c r="B283" t="s">
        <v>57</v>
      </c>
      <c r="C283" t="s">
        <v>38</v>
      </c>
      <c r="D283" t="s">
        <v>34</v>
      </c>
      <c r="E283" t="s">
        <v>45</v>
      </c>
      <c r="F283">
        <v>3</v>
      </c>
      <c r="G283">
        <v>19443</v>
      </c>
      <c r="H283">
        <v>10</v>
      </c>
      <c r="I283" s="1">
        <v>46153</v>
      </c>
      <c r="J283" s="1">
        <v>46158</v>
      </c>
      <c r="K283" t="s">
        <v>29</v>
      </c>
    </row>
    <row r="284" spans="1:11" x14ac:dyDescent="0.3">
      <c r="A284">
        <v>1185</v>
      </c>
      <c r="B284" t="s">
        <v>58</v>
      </c>
      <c r="C284" t="s">
        <v>22</v>
      </c>
      <c r="D284" t="s">
        <v>34</v>
      </c>
      <c r="E284" t="s">
        <v>60</v>
      </c>
      <c r="F284">
        <v>16</v>
      </c>
      <c r="G284">
        <v>15536</v>
      </c>
      <c r="H284">
        <v>2</v>
      </c>
      <c r="I284" s="1">
        <v>46153</v>
      </c>
      <c r="J284" s="1">
        <v>46156</v>
      </c>
      <c r="K284" t="s">
        <v>15</v>
      </c>
    </row>
    <row r="285" spans="1:11" x14ac:dyDescent="0.3">
      <c r="A285">
        <v>1147</v>
      </c>
      <c r="B285" t="s">
        <v>11</v>
      </c>
      <c r="C285" t="s">
        <v>22</v>
      </c>
      <c r="D285" t="s">
        <v>18</v>
      </c>
      <c r="E285" t="s">
        <v>28</v>
      </c>
      <c r="F285">
        <v>7</v>
      </c>
      <c r="G285">
        <v>9581</v>
      </c>
      <c r="H285">
        <v>5</v>
      </c>
      <c r="I285" s="1">
        <v>46154</v>
      </c>
      <c r="J285" s="1">
        <v>46155</v>
      </c>
      <c r="K285" t="s">
        <v>20</v>
      </c>
    </row>
    <row r="286" spans="1:11" x14ac:dyDescent="0.3">
      <c r="A286">
        <v>1222</v>
      </c>
      <c r="B286" t="s">
        <v>30</v>
      </c>
      <c r="C286" t="s">
        <v>33</v>
      </c>
      <c r="D286" t="s">
        <v>18</v>
      </c>
      <c r="E286" t="s">
        <v>23</v>
      </c>
      <c r="F286">
        <v>9</v>
      </c>
      <c r="G286">
        <v>2712</v>
      </c>
      <c r="H286">
        <v>12</v>
      </c>
      <c r="I286" s="1">
        <v>46154</v>
      </c>
      <c r="J286" s="1">
        <v>46163</v>
      </c>
      <c r="K286" t="s">
        <v>15</v>
      </c>
    </row>
    <row r="287" spans="1:11" x14ac:dyDescent="0.3">
      <c r="A287">
        <v>1332</v>
      </c>
      <c r="B287" t="s">
        <v>29</v>
      </c>
      <c r="C287" t="s">
        <v>43</v>
      </c>
      <c r="D287" t="s">
        <v>13</v>
      </c>
      <c r="E287" t="s">
        <v>50</v>
      </c>
      <c r="F287">
        <v>7</v>
      </c>
      <c r="G287">
        <v>439</v>
      </c>
      <c r="H287">
        <v>2</v>
      </c>
      <c r="I287" s="1">
        <v>46154</v>
      </c>
      <c r="J287" s="1">
        <v>46157</v>
      </c>
      <c r="K287" t="s">
        <v>15</v>
      </c>
    </row>
    <row r="288" spans="1:11" x14ac:dyDescent="0.3">
      <c r="A288">
        <v>1179</v>
      </c>
      <c r="B288" t="s">
        <v>47</v>
      </c>
      <c r="C288" t="s">
        <v>17</v>
      </c>
      <c r="D288" t="s">
        <v>34</v>
      </c>
      <c r="E288" t="s">
        <v>39</v>
      </c>
      <c r="F288">
        <v>6</v>
      </c>
      <c r="G288">
        <v>10400</v>
      </c>
      <c r="H288">
        <v>2</v>
      </c>
      <c r="I288" s="1">
        <v>46155</v>
      </c>
      <c r="J288" s="1">
        <v>46158</v>
      </c>
      <c r="K288" t="s">
        <v>15</v>
      </c>
    </row>
    <row r="289" spans="1:11" x14ac:dyDescent="0.3">
      <c r="A289">
        <v>1196</v>
      </c>
      <c r="B289" t="s">
        <v>48</v>
      </c>
      <c r="C289" t="s">
        <v>22</v>
      </c>
      <c r="D289" t="s">
        <v>34</v>
      </c>
      <c r="E289" t="s">
        <v>35</v>
      </c>
      <c r="F289">
        <v>20</v>
      </c>
      <c r="G289">
        <v>3172</v>
      </c>
      <c r="H289">
        <v>5</v>
      </c>
      <c r="I289" s="1">
        <v>46155</v>
      </c>
      <c r="J289" s="1">
        <v>46159</v>
      </c>
      <c r="K289" t="s">
        <v>20</v>
      </c>
    </row>
    <row r="290" spans="1:11" x14ac:dyDescent="0.3">
      <c r="A290">
        <v>1027</v>
      </c>
      <c r="B290" t="s">
        <v>29</v>
      </c>
      <c r="C290" t="s">
        <v>43</v>
      </c>
      <c r="D290" t="s">
        <v>13</v>
      </c>
      <c r="E290" t="s">
        <v>50</v>
      </c>
      <c r="F290">
        <v>4</v>
      </c>
      <c r="G290">
        <v>264</v>
      </c>
      <c r="H290">
        <v>0</v>
      </c>
      <c r="I290" s="1">
        <v>46155</v>
      </c>
      <c r="J290" s="1">
        <v>46161</v>
      </c>
      <c r="K290" t="s">
        <v>51</v>
      </c>
    </row>
    <row r="291" spans="1:11" x14ac:dyDescent="0.3">
      <c r="A291">
        <v>1344</v>
      </c>
      <c r="B291" t="s">
        <v>30</v>
      </c>
      <c r="C291" t="s">
        <v>17</v>
      </c>
      <c r="D291" t="s">
        <v>13</v>
      </c>
      <c r="E291" t="s">
        <v>53</v>
      </c>
      <c r="F291">
        <v>18</v>
      </c>
      <c r="G291">
        <v>240</v>
      </c>
      <c r="H291">
        <v>10</v>
      </c>
      <c r="I291" s="1">
        <v>46155</v>
      </c>
      <c r="J291" s="1">
        <v>46156</v>
      </c>
      <c r="K291" t="s">
        <v>24</v>
      </c>
    </row>
    <row r="292" spans="1:11" x14ac:dyDescent="0.3">
      <c r="A292">
        <v>1171</v>
      </c>
      <c r="B292" t="s">
        <v>57</v>
      </c>
      <c r="C292" t="s">
        <v>25</v>
      </c>
      <c r="D292" t="s">
        <v>13</v>
      </c>
      <c r="E292" t="s">
        <v>50</v>
      </c>
      <c r="F292">
        <v>17</v>
      </c>
      <c r="G292">
        <v>147</v>
      </c>
      <c r="H292">
        <v>12</v>
      </c>
      <c r="I292" s="1">
        <v>46155</v>
      </c>
      <c r="J292" s="1">
        <v>46160</v>
      </c>
      <c r="K292" t="s">
        <v>20</v>
      </c>
    </row>
    <row r="293" spans="1:11" x14ac:dyDescent="0.3">
      <c r="A293">
        <v>1295</v>
      </c>
      <c r="B293" t="s">
        <v>52</v>
      </c>
      <c r="C293" t="s">
        <v>38</v>
      </c>
      <c r="D293" t="s">
        <v>18</v>
      </c>
      <c r="E293" t="s">
        <v>28</v>
      </c>
      <c r="F293">
        <v>16</v>
      </c>
      <c r="G293">
        <v>11935</v>
      </c>
      <c r="H293">
        <v>12</v>
      </c>
      <c r="I293" s="1">
        <v>46157</v>
      </c>
      <c r="J293" s="1">
        <v>46162</v>
      </c>
      <c r="K293" t="s">
        <v>15</v>
      </c>
    </row>
    <row r="294" spans="1:11" x14ac:dyDescent="0.3">
      <c r="A294">
        <v>1367</v>
      </c>
      <c r="B294" t="s">
        <v>54</v>
      </c>
      <c r="C294" t="s">
        <v>25</v>
      </c>
      <c r="D294" t="s">
        <v>13</v>
      </c>
      <c r="E294" t="s">
        <v>53</v>
      </c>
      <c r="F294">
        <v>1</v>
      </c>
      <c r="G294">
        <v>371</v>
      </c>
      <c r="H294">
        <v>5</v>
      </c>
      <c r="I294" s="1">
        <v>46158</v>
      </c>
      <c r="J294" s="1">
        <v>46168</v>
      </c>
      <c r="K294" t="s">
        <v>29</v>
      </c>
    </row>
    <row r="295" spans="1:11" x14ac:dyDescent="0.3">
      <c r="A295">
        <v>1317</v>
      </c>
      <c r="B295" t="s">
        <v>59</v>
      </c>
      <c r="C295" t="s">
        <v>33</v>
      </c>
      <c r="D295" t="s">
        <v>34</v>
      </c>
      <c r="E295" t="s">
        <v>41</v>
      </c>
      <c r="F295">
        <v>7</v>
      </c>
      <c r="G295">
        <v>67339</v>
      </c>
      <c r="H295">
        <v>5</v>
      </c>
      <c r="I295" s="1">
        <v>46159</v>
      </c>
      <c r="J295" s="1">
        <v>46169</v>
      </c>
      <c r="K295" t="s">
        <v>51</v>
      </c>
    </row>
    <row r="296" spans="1:11" x14ac:dyDescent="0.3">
      <c r="A296">
        <v>1052</v>
      </c>
      <c r="B296" t="s">
        <v>55</v>
      </c>
      <c r="C296" t="s">
        <v>12</v>
      </c>
      <c r="D296" t="s">
        <v>13</v>
      </c>
      <c r="E296" t="s">
        <v>14</v>
      </c>
      <c r="F296">
        <v>17</v>
      </c>
      <c r="G296">
        <v>172</v>
      </c>
      <c r="H296">
        <v>10</v>
      </c>
      <c r="I296" s="1">
        <v>46159</v>
      </c>
      <c r="J296" s="1">
        <v>46165</v>
      </c>
      <c r="K296" t="s">
        <v>20</v>
      </c>
    </row>
    <row r="297" spans="1:11" x14ac:dyDescent="0.3">
      <c r="A297">
        <v>1143</v>
      </c>
      <c r="B297" t="s">
        <v>29</v>
      </c>
      <c r="C297" t="s">
        <v>17</v>
      </c>
      <c r="D297" t="s">
        <v>13</v>
      </c>
      <c r="E297" t="s">
        <v>37</v>
      </c>
      <c r="F297">
        <v>13</v>
      </c>
      <c r="G297">
        <v>456</v>
      </c>
      <c r="H297">
        <v>2</v>
      </c>
      <c r="I297" s="1">
        <v>46160</v>
      </c>
      <c r="J297" s="1">
        <v>46167</v>
      </c>
      <c r="K297" t="s">
        <v>24</v>
      </c>
    </row>
    <row r="298" spans="1:11" x14ac:dyDescent="0.3">
      <c r="A298">
        <v>1167</v>
      </c>
      <c r="B298" t="s">
        <v>48</v>
      </c>
      <c r="C298" t="s">
        <v>17</v>
      </c>
      <c r="D298" t="s">
        <v>13</v>
      </c>
      <c r="E298" t="s">
        <v>37</v>
      </c>
      <c r="F298">
        <v>20</v>
      </c>
      <c r="G298">
        <v>251</v>
      </c>
      <c r="H298">
        <v>5</v>
      </c>
      <c r="I298" s="1">
        <v>46160</v>
      </c>
      <c r="J298" s="1">
        <v>46170</v>
      </c>
      <c r="K298" t="s">
        <v>29</v>
      </c>
    </row>
    <row r="299" spans="1:11" x14ac:dyDescent="0.3">
      <c r="A299">
        <v>1129</v>
      </c>
      <c r="B299" t="s">
        <v>58</v>
      </c>
      <c r="C299" t="s">
        <v>17</v>
      </c>
      <c r="D299" t="s">
        <v>13</v>
      </c>
      <c r="E299" t="s">
        <v>50</v>
      </c>
      <c r="F299">
        <v>15</v>
      </c>
      <c r="G299">
        <v>75</v>
      </c>
      <c r="H299">
        <v>7</v>
      </c>
      <c r="I299" s="1">
        <v>46160</v>
      </c>
      <c r="J299" s="1">
        <v>46164</v>
      </c>
      <c r="K299" t="s">
        <v>29</v>
      </c>
    </row>
    <row r="300" spans="1:11" x14ac:dyDescent="0.3">
      <c r="A300">
        <v>1257</v>
      </c>
      <c r="B300" t="s">
        <v>54</v>
      </c>
      <c r="C300" t="s">
        <v>25</v>
      </c>
      <c r="D300" t="s">
        <v>34</v>
      </c>
      <c r="E300" t="s">
        <v>61</v>
      </c>
      <c r="F300">
        <v>7</v>
      </c>
      <c r="G300">
        <v>53243</v>
      </c>
      <c r="H300">
        <v>12</v>
      </c>
      <c r="I300" s="1">
        <v>46161</v>
      </c>
      <c r="J300" s="1">
        <v>46171</v>
      </c>
      <c r="K300" t="s">
        <v>15</v>
      </c>
    </row>
    <row r="301" spans="1:11" x14ac:dyDescent="0.3">
      <c r="A301">
        <v>1372</v>
      </c>
      <c r="B301" t="s">
        <v>48</v>
      </c>
      <c r="C301" t="s">
        <v>17</v>
      </c>
      <c r="D301" t="s">
        <v>34</v>
      </c>
      <c r="E301" t="s">
        <v>39</v>
      </c>
      <c r="F301">
        <v>9</v>
      </c>
      <c r="G301">
        <v>9551</v>
      </c>
      <c r="H301">
        <v>10</v>
      </c>
      <c r="I301" s="1">
        <v>46161</v>
      </c>
      <c r="J301" s="1">
        <v>46168</v>
      </c>
      <c r="K301" t="s">
        <v>15</v>
      </c>
    </row>
    <row r="302" spans="1:11" x14ac:dyDescent="0.3">
      <c r="A302">
        <v>1024</v>
      </c>
      <c r="B302" t="s">
        <v>32</v>
      </c>
      <c r="C302" t="s">
        <v>38</v>
      </c>
      <c r="D302" t="s">
        <v>34</v>
      </c>
      <c r="E302" t="s">
        <v>41</v>
      </c>
      <c r="F302">
        <v>12</v>
      </c>
      <c r="G302">
        <v>1682</v>
      </c>
      <c r="H302">
        <v>5</v>
      </c>
      <c r="I302" s="1">
        <v>46161</v>
      </c>
      <c r="J302" s="1">
        <v>46165</v>
      </c>
      <c r="K302" t="s">
        <v>15</v>
      </c>
    </row>
    <row r="303" spans="1:11" x14ac:dyDescent="0.3">
      <c r="A303">
        <v>1248</v>
      </c>
      <c r="B303" t="s">
        <v>27</v>
      </c>
      <c r="C303" t="s">
        <v>43</v>
      </c>
      <c r="D303" t="s">
        <v>13</v>
      </c>
      <c r="E303" t="s">
        <v>37</v>
      </c>
      <c r="F303">
        <v>5</v>
      </c>
      <c r="G303">
        <v>398</v>
      </c>
      <c r="H303">
        <v>7</v>
      </c>
      <c r="I303" s="1">
        <v>46161</v>
      </c>
      <c r="J303" s="1">
        <v>46171</v>
      </c>
      <c r="K303" t="s">
        <v>29</v>
      </c>
    </row>
    <row r="304" spans="1:11" x14ac:dyDescent="0.3">
      <c r="A304">
        <v>1011</v>
      </c>
      <c r="B304" t="s">
        <v>11</v>
      </c>
      <c r="C304" t="s">
        <v>17</v>
      </c>
      <c r="D304" t="s">
        <v>13</v>
      </c>
      <c r="E304" t="s">
        <v>37</v>
      </c>
      <c r="F304">
        <v>14</v>
      </c>
      <c r="G304">
        <v>88</v>
      </c>
      <c r="H304">
        <v>12</v>
      </c>
      <c r="I304" s="1">
        <v>46161</v>
      </c>
      <c r="J304" s="1">
        <v>46163</v>
      </c>
      <c r="K304" t="s">
        <v>15</v>
      </c>
    </row>
    <row r="305" spans="1:11" x14ac:dyDescent="0.3">
      <c r="A305">
        <v>1386</v>
      </c>
      <c r="B305" t="s">
        <v>27</v>
      </c>
      <c r="C305" t="s">
        <v>31</v>
      </c>
      <c r="D305" t="s">
        <v>18</v>
      </c>
      <c r="E305" t="s">
        <v>28</v>
      </c>
      <c r="F305">
        <v>9</v>
      </c>
      <c r="G305">
        <v>7509</v>
      </c>
      <c r="H305">
        <v>5</v>
      </c>
      <c r="I305" s="1">
        <v>46162</v>
      </c>
      <c r="J305" s="1">
        <v>46171</v>
      </c>
      <c r="K305" t="s">
        <v>51</v>
      </c>
    </row>
    <row r="306" spans="1:11" x14ac:dyDescent="0.3">
      <c r="A306">
        <v>1007</v>
      </c>
      <c r="B306" t="s">
        <v>21</v>
      </c>
      <c r="C306" t="s">
        <v>22</v>
      </c>
      <c r="D306" t="s">
        <v>13</v>
      </c>
      <c r="E306" t="s">
        <v>14</v>
      </c>
      <c r="F306">
        <v>19</v>
      </c>
      <c r="G306">
        <v>149</v>
      </c>
      <c r="H306">
        <v>7</v>
      </c>
      <c r="I306" s="1">
        <v>46162</v>
      </c>
      <c r="J306" s="1">
        <v>46168</v>
      </c>
      <c r="K306" t="s">
        <v>24</v>
      </c>
    </row>
    <row r="307" spans="1:11" x14ac:dyDescent="0.3">
      <c r="A307">
        <v>1032</v>
      </c>
      <c r="B307" t="s">
        <v>54</v>
      </c>
      <c r="C307" t="s">
        <v>43</v>
      </c>
      <c r="D307" t="s">
        <v>34</v>
      </c>
      <c r="E307" t="s">
        <v>39</v>
      </c>
      <c r="F307">
        <v>20</v>
      </c>
      <c r="G307">
        <v>11305</v>
      </c>
      <c r="H307">
        <v>2</v>
      </c>
      <c r="I307" s="1">
        <v>46163</v>
      </c>
      <c r="J307" s="1">
        <v>46165</v>
      </c>
      <c r="K307" t="s">
        <v>29</v>
      </c>
    </row>
    <row r="308" spans="1:11" x14ac:dyDescent="0.3">
      <c r="A308">
        <v>1302</v>
      </c>
      <c r="B308" t="s">
        <v>57</v>
      </c>
      <c r="C308" t="s">
        <v>12</v>
      </c>
      <c r="D308" t="s">
        <v>34</v>
      </c>
      <c r="E308" t="s">
        <v>35</v>
      </c>
      <c r="F308">
        <v>9</v>
      </c>
      <c r="G308">
        <v>8500</v>
      </c>
      <c r="H308">
        <v>15</v>
      </c>
      <c r="I308" s="1">
        <v>46163</v>
      </c>
      <c r="J308" s="1">
        <v>46172</v>
      </c>
      <c r="K308" t="s">
        <v>24</v>
      </c>
    </row>
    <row r="309" spans="1:11" x14ac:dyDescent="0.3">
      <c r="A309">
        <v>1249</v>
      </c>
      <c r="B309" t="s">
        <v>16</v>
      </c>
      <c r="C309" t="s">
        <v>25</v>
      </c>
      <c r="D309" t="s">
        <v>34</v>
      </c>
      <c r="E309" t="s">
        <v>41</v>
      </c>
      <c r="F309">
        <v>18</v>
      </c>
      <c r="G309">
        <v>6360</v>
      </c>
      <c r="H309">
        <v>12</v>
      </c>
      <c r="I309" s="1">
        <v>46163</v>
      </c>
      <c r="J309" s="1">
        <v>46165</v>
      </c>
      <c r="K309" t="s">
        <v>20</v>
      </c>
    </row>
    <row r="310" spans="1:11" x14ac:dyDescent="0.3">
      <c r="A310">
        <v>1207</v>
      </c>
      <c r="B310" t="s">
        <v>55</v>
      </c>
      <c r="C310" t="s">
        <v>25</v>
      </c>
      <c r="D310" t="s">
        <v>13</v>
      </c>
      <c r="E310" t="s">
        <v>53</v>
      </c>
      <c r="F310">
        <v>7</v>
      </c>
      <c r="G310">
        <v>244</v>
      </c>
      <c r="H310">
        <v>2</v>
      </c>
      <c r="I310" s="1">
        <v>46164</v>
      </c>
      <c r="J310" s="1">
        <v>46173</v>
      </c>
      <c r="K310" t="s">
        <v>24</v>
      </c>
    </row>
    <row r="311" spans="1:11" x14ac:dyDescent="0.3">
      <c r="A311">
        <v>1236</v>
      </c>
      <c r="B311" t="s">
        <v>54</v>
      </c>
      <c r="C311" t="s">
        <v>43</v>
      </c>
      <c r="D311" t="s">
        <v>13</v>
      </c>
      <c r="E311" t="s">
        <v>37</v>
      </c>
      <c r="F311">
        <v>12</v>
      </c>
      <c r="G311">
        <v>189</v>
      </c>
      <c r="H311">
        <v>7</v>
      </c>
      <c r="I311" s="1">
        <v>46164</v>
      </c>
      <c r="J311" s="1">
        <v>46169</v>
      </c>
      <c r="K311" t="s">
        <v>29</v>
      </c>
    </row>
    <row r="312" spans="1:11" x14ac:dyDescent="0.3">
      <c r="A312">
        <v>1326</v>
      </c>
      <c r="B312" t="s">
        <v>26</v>
      </c>
      <c r="C312" t="s">
        <v>17</v>
      </c>
      <c r="D312" t="s">
        <v>18</v>
      </c>
      <c r="E312" t="s">
        <v>44</v>
      </c>
      <c r="F312">
        <v>18</v>
      </c>
      <c r="G312">
        <v>1830</v>
      </c>
      <c r="H312">
        <v>10</v>
      </c>
      <c r="I312" s="1">
        <v>46165</v>
      </c>
      <c r="J312" s="1">
        <v>46172</v>
      </c>
      <c r="K312" t="s">
        <v>15</v>
      </c>
    </row>
    <row r="313" spans="1:11" x14ac:dyDescent="0.3">
      <c r="A313">
        <v>1252</v>
      </c>
      <c r="B313" t="s">
        <v>47</v>
      </c>
      <c r="C313" t="s">
        <v>25</v>
      </c>
      <c r="D313" t="s">
        <v>13</v>
      </c>
      <c r="E313" t="s">
        <v>36</v>
      </c>
      <c r="F313">
        <v>15</v>
      </c>
      <c r="G313">
        <v>257</v>
      </c>
      <c r="H313">
        <v>5</v>
      </c>
      <c r="I313" s="1">
        <v>46166</v>
      </c>
      <c r="J313" s="1">
        <v>46173</v>
      </c>
      <c r="K313" t="s">
        <v>20</v>
      </c>
    </row>
    <row r="314" spans="1:11" x14ac:dyDescent="0.3">
      <c r="A314">
        <v>1206</v>
      </c>
      <c r="B314" t="s">
        <v>55</v>
      </c>
      <c r="C314" t="s">
        <v>33</v>
      </c>
      <c r="D314" t="s">
        <v>13</v>
      </c>
      <c r="E314" t="s">
        <v>14</v>
      </c>
      <c r="F314">
        <v>9</v>
      </c>
      <c r="G314">
        <v>60</v>
      </c>
      <c r="H314">
        <v>0</v>
      </c>
      <c r="I314" s="1">
        <v>46166</v>
      </c>
      <c r="J314" s="1">
        <v>46174</v>
      </c>
      <c r="K314" t="s">
        <v>15</v>
      </c>
    </row>
    <row r="315" spans="1:11" x14ac:dyDescent="0.3">
      <c r="A315">
        <v>1095</v>
      </c>
      <c r="B315" t="s">
        <v>47</v>
      </c>
      <c r="C315" t="s">
        <v>25</v>
      </c>
      <c r="D315" t="s">
        <v>34</v>
      </c>
      <c r="E315" t="s">
        <v>41</v>
      </c>
      <c r="F315">
        <v>18</v>
      </c>
      <c r="G315">
        <v>587</v>
      </c>
      <c r="H315">
        <v>2</v>
      </c>
      <c r="I315" s="1">
        <v>46167</v>
      </c>
      <c r="J315" s="1">
        <v>46171</v>
      </c>
      <c r="K315" t="s">
        <v>20</v>
      </c>
    </row>
    <row r="316" spans="1:11" x14ac:dyDescent="0.3">
      <c r="A316">
        <v>1131</v>
      </c>
      <c r="B316" t="s">
        <v>21</v>
      </c>
      <c r="C316" t="s">
        <v>31</v>
      </c>
      <c r="D316" t="s">
        <v>18</v>
      </c>
      <c r="E316" t="s">
        <v>23</v>
      </c>
      <c r="F316">
        <v>13</v>
      </c>
      <c r="G316">
        <v>3083</v>
      </c>
      <c r="H316">
        <v>7</v>
      </c>
      <c r="I316" s="1">
        <v>46168</v>
      </c>
      <c r="J316" s="1">
        <v>46173</v>
      </c>
      <c r="K316" t="s">
        <v>51</v>
      </c>
    </row>
    <row r="317" spans="1:11" x14ac:dyDescent="0.3">
      <c r="A317">
        <v>1335</v>
      </c>
      <c r="B317" t="s">
        <v>47</v>
      </c>
      <c r="C317" t="s">
        <v>17</v>
      </c>
      <c r="D317" t="s">
        <v>18</v>
      </c>
      <c r="E317" t="s">
        <v>19</v>
      </c>
      <c r="F317">
        <v>9</v>
      </c>
      <c r="G317">
        <v>1495</v>
      </c>
      <c r="H317">
        <v>12</v>
      </c>
      <c r="I317" s="1">
        <v>46168</v>
      </c>
      <c r="J317" s="1">
        <v>46173</v>
      </c>
      <c r="K317" t="s">
        <v>15</v>
      </c>
    </row>
    <row r="318" spans="1:11" x14ac:dyDescent="0.3">
      <c r="A318">
        <v>1286</v>
      </c>
      <c r="B318" t="s">
        <v>46</v>
      </c>
      <c r="C318" t="s">
        <v>17</v>
      </c>
      <c r="D318" t="s">
        <v>18</v>
      </c>
      <c r="E318" t="s">
        <v>56</v>
      </c>
      <c r="F318">
        <v>9</v>
      </c>
      <c r="G318">
        <v>1340</v>
      </c>
      <c r="H318">
        <v>2</v>
      </c>
      <c r="I318" s="1">
        <v>46168</v>
      </c>
      <c r="J318" s="1">
        <v>46173</v>
      </c>
      <c r="K318" t="s">
        <v>15</v>
      </c>
    </row>
    <row r="319" spans="1:11" x14ac:dyDescent="0.3">
      <c r="A319">
        <v>1177</v>
      </c>
      <c r="B319" t="s">
        <v>29</v>
      </c>
      <c r="C319" t="s">
        <v>22</v>
      </c>
      <c r="D319" t="s">
        <v>18</v>
      </c>
      <c r="E319" t="s">
        <v>19</v>
      </c>
      <c r="F319">
        <v>14</v>
      </c>
      <c r="G319">
        <v>7501</v>
      </c>
      <c r="H319">
        <v>7</v>
      </c>
      <c r="I319" s="1">
        <v>46169</v>
      </c>
      <c r="J319" s="1">
        <v>46179</v>
      </c>
      <c r="K319" t="s">
        <v>20</v>
      </c>
    </row>
    <row r="320" spans="1:11" x14ac:dyDescent="0.3">
      <c r="A320">
        <v>1318</v>
      </c>
      <c r="B320" t="s">
        <v>11</v>
      </c>
      <c r="C320" t="s">
        <v>43</v>
      </c>
      <c r="D320" t="s">
        <v>13</v>
      </c>
      <c r="E320" t="s">
        <v>50</v>
      </c>
      <c r="F320">
        <v>4</v>
      </c>
      <c r="G320">
        <v>38</v>
      </c>
      <c r="H320">
        <v>12</v>
      </c>
      <c r="I320" s="1">
        <v>46169</v>
      </c>
      <c r="J320" s="1">
        <v>46175</v>
      </c>
      <c r="K320" t="s">
        <v>29</v>
      </c>
    </row>
    <row r="321" spans="1:11" x14ac:dyDescent="0.3">
      <c r="A321">
        <v>1079</v>
      </c>
      <c r="B321" t="s">
        <v>26</v>
      </c>
      <c r="C321" t="s">
        <v>38</v>
      </c>
      <c r="D321" t="s">
        <v>34</v>
      </c>
      <c r="E321" t="s">
        <v>41</v>
      </c>
      <c r="F321">
        <v>19</v>
      </c>
      <c r="G321">
        <v>48956</v>
      </c>
      <c r="H321">
        <v>12</v>
      </c>
      <c r="I321" s="1">
        <v>46170</v>
      </c>
      <c r="J321" s="1">
        <v>46177</v>
      </c>
      <c r="K321" t="s">
        <v>51</v>
      </c>
    </row>
    <row r="322" spans="1:11" x14ac:dyDescent="0.3">
      <c r="A322">
        <v>1127</v>
      </c>
      <c r="B322" t="s">
        <v>26</v>
      </c>
      <c r="C322" t="s">
        <v>33</v>
      </c>
      <c r="D322" t="s">
        <v>18</v>
      </c>
      <c r="E322" t="s">
        <v>28</v>
      </c>
      <c r="F322">
        <v>15</v>
      </c>
      <c r="G322">
        <v>11694</v>
      </c>
      <c r="H322">
        <v>12</v>
      </c>
      <c r="I322" s="1">
        <v>46170</v>
      </c>
      <c r="J322" s="1">
        <v>46179</v>
      </c>
      <c r="K322" t="s">
        <v>29</v>
      </c>
    </row>
    <row r="323" spans="1:11" x14ac:dyDescent="0.3">
      <c r="A323">
        <v>1398</v>
      </c>
      <c r="B323" t="s">
        <v>58</v>
      </c>
      <c r="C323" t="s">
        <v>43</v>
      </c>
      <c r="D323" t="s">
        <v>34</v>
      </c>
      <c r="E323" t="s">
        <v>39</v>
      </c>
      <c r="F323">
        <v>12</v>
      </c>
      <c r="G323">
        <v>10668</v>
      </c>
      <c r="H323">
        <v>0</v>
      </c>
      <c r="I323" s="1">
        <v>46170</v>
      </c>
      <c r="J323" s="1">
        <v>46176</v>
      </c>
      <c r="K323" t="s">
        <v>15</v>
      </c>
    </row>
    <row r="324" spans="1:11" x14ac:dyDescent="0.3">
      <c r="A324">
        <v>1220</v>
      </c>
      <c r="B324" t="s">
        <v>11</v>
      </c>
      <c r="C324" t="s">
        <v>25</v>
      </c>
      <c r="D324" t="s">
        <v>18</v>
      </c>
      <c r="E324" t="s">
        <v>56</v>
      </c>
      <c r="F324">
        <v>2</v>
      </c>
      <c r="G324">
        <v>8861</v>
      </c>
      <c r="H324">
        <v>2</v>
      </c>
      <c r="I324" s="1">
        <v>46170</v>
      </c>
      <c r="J324" s="1">
        <v>46174</v>
      </c>
      <c r="K324" t="s">
        <v>24</v>
      </c>
    </row>
    <row r="325" spans="1:11" x14ac:dyDescent="0.3">
      <c r="A325">
        <v>1040</v>
      </c>
      <c r="B325" t="s">
        <v>49</v>
      </c>
      <c r="C325" t="s">
        <v>38</v>
      </c>
      <c r="D325" t="s">
        <v>18</v>
      </c>
      <c r="E325" t="s">
        <v>28</v>
      </c>
      <c r="F325">
        <v>10</v>
      </c>
      <c r="G325">
        <v>7531</v>
      </c>
      <c r="H325">
        <v>2</v>
      </c>
      <c r="I325" s="1">
        <v>46171</v>
      </c>
      <c r="J325" s="1">
        <v>46178</v>
      </c>
      <c r="K325" t="s">
        <v>24</v>
      </c>
    </row>
    <row r="326" spans="1:11" x14ac:dyDescent="0.3">
      <c r="A326">
        <v>1087</v>
      </c>
      <c r="B326" t="s">
        <v>11</v>
      </c>
      <c r="C326" t="s">
        <v>31</v>
      </c>
      <c r="D326" t="s">
        <v>13</v>
      </c>
      <c r="E326" t="s">
        <v>37</v>
      </c>
      <c r="F326">
        <v>13</v>
      </c>
      <c r="G326">
        <v>387</v>
      </c>
      <c r="H326">
        <v>7</v>
      </c>
      <c r="I326" s="1">
        <v>46171</v>
      </c>
      <c r="J326" s="1">
        <v>46176</v>
      </c>
      <c r="K326" t="s">
        <v>24</v>
      </c>
    </row>
    <row r="327" spans="1:11" x14ac:dyDescent="0.3">
      <c r="A327">
        <v>1005</v>
      </c>
      <c r="B327" t="s">
        <v>26</v>
      </c>
      <c r="C327" t="s">
        <v>17</v>
      </c>
      <c r="D327" t="s">
        <v>13</v>
      </c>
      <c r="E327" t="s">
        <v>14</v>
      </c>
      <c r="F327">
        <v>18</v>
      </c>
      <c r="G327">
        <v>70</v>
      </c>
      <c r="H327">
        <v>0</v>
      </c>
      <c r="I327" s="1">
        <v>46171</v>
      </c>
      <c r="J327" s="1">
        <v>46179</v>
      </c>
      <c r="K327" t="s">
        <v>24</v>
      </c>
    </row>
    <row r="328" spans="1:11" x14ac:dyDescent="0.3">
      <c r="A328">
        <v>1217</v>
      </c>
      <c r="B328" t="s">
        <v>30</v>
      </c>
      <c r="C328" t="s">
        <v>22</v>
      </c>
      <c r="D328" t="s">
        <v>13</v>
      </c>
      <c r="E328" t="s">
        <v>50</v>
      </c>
      <c r="F328">
        <v>18</v>
      </c>
      <c r="G328">
        <v>60</v>
      </c>
      <c r="H328">
        <v>0</v>
      </c>
      <c r="I328" s="1">
        <v>46171</v>
      </c>
      <c r="J328" s="1">
        <v>46172</v>
      </c>
      <c r="K328" t="s">
        <v>29</v>
      </c>
    </row>
    <row r="329" spans="1:11" x14ac:dyDescent="0.3">
      <c r="A329">
        <v>1259</v>
      </c>
      <c r="B329" t="s">
        <v>42</v>
      </c>
      <c r="C329" t="s">
        <v>22</v>
      </c>
      <c r="D329" t="s">
        <v>34</v>
      </c>
      <c r="E329" t="s">
        <v>45</v>
      </c>
      <c r="F329">
        <v>10</v>
      </c>
      <c r="G329">
        <v>38771</v>
      </c>
      <c r="H329">
        <v>15</v>
      </c>
      <c r="I329" s="1">
        <v>46172</v>
      </c>
      <c r="J329" s="1">
        <v>46182</v>
      </c>
      <c r="K329" t="s">
        <v>15</v>
      </c>
    </row>
    <row r="330" spans="1:11" x14ac:dyDescent="0.3">
      <c r="A330">
        <v>1273</v>
      </c>
      <c r="B330" t="s">
        <v>46</v>
      </c>
      <c r="C330" t="s">
        <v>25</v>
      </c>
      <c r="D330" t="s">
        <v>34</v>
      </c>
      <c r="E330" t="s">
        <v>39</v>
      </c>
      <c r="F330">
        <v>12</v>
      </c>
      <c r="G330">
        <v>20618</v>
      </c>
      <c r="H330">
        <v>12</v>
      </c>
      <c r="I330" s="1">
        <v>46172</v>
      </c>
      <c r="J330" s="1">
        <v>46174</v>
      </c>
      <c r="K330" t="s">
        <v>20</v>
      </c>
    </row>
    <row r="331" spans="1:11" x14ac:dyDescent="0.3">
      <c r="A331">
        <v>1235</v>
      </c>
      <c r="B331" t="s">
        <v>57</v>
      </c>
      <c r="C331" t="s">
        <v>25</v>
      </c>
      <c r="D331" t="s">
        <v>13</v>
      </c>
      <c r="E331" t="s">
        <v>50</v>
      </c>
      <c r="F331">
        <v>15</v>
      </c>
      <c r="G331">
        <v>267</v>
      </c>
      <c r="H331">
        <v>15</v>
      </c>
      <c r="I331" s="1">
        <v>46172</v>
      </c>
      <c r="J331" s="1">
        <v>46177</v>
      </c>
      <c r="K331" t="s">
        <v>29</v>
      </c>
    </row>
    <row r="332" spans="1:11" x14ac:dyDescent="0.3">
      <c r="A332">
        <v>1044</v>
      </c>
      <c r="B332" t="s">
        <v>48</v>
      </c>
      <c r="C332" t="s">
        <v>38</v>
      </c>
      <c r="D332" t="s">
        <v>18</v>
      </c>
      <c r="E332" t="s">
        <v>19</v>
      </c>
      <c r="F332">
        <v>4</v>
      </c>
      <c r="G332">
        <v>14731</v>
      </c>
      <c r="H332">
        <v>2</v>
      </c>
      <c r="I332" s="1">
        <v>46173</v>
      </c>
      <c r="J332" s="1">
        <v>46176</v>
      </c>
      <c r="K332" t="s">
        <v>20</v>
      </c>
    </row>
    <row r="333" spans="1:11" x14ac:dyDescent="0.3">
      <c r="A333">
        <v>1247</v>
      </c>
      <c r="B333" t="s">
        <v>26</v>
      </c>
      <c r="C333" t="s">
        <v>12</v>
      </c>
      <c r="D333" t="s">
        <v>13</v>
      </c>
      <c r="E333" t="s">
        <v>50</v>
      </c>
      <c r="F333">
        <v>10</v>
      </c>
      <c r="G333">
        <v>336</v>
      </c>
      <c r="H333">
        <v>7</v>
      </c>
      <c r="I333" s="1">
        <v>46173</v>
      </c>
      <c r="J333" s="1">
        <v>46175</v>
      </c>
      <c r="K333" t="s">
        <v>20</v>
      </c>
    </row>
    <row r="334" spans="1:11" x14ac:dyDescent="0.3">
      <c r="A334">
        <v>1311</v>
      </c>
      <c r="B334" t="s">
        <v>55</v>
      </c>
      <c r="C334" t="s">
        <v>12</v>
      </c>
      <c r="D334" t="s">
        <v>13</v>
      </c>
      <c r="E334" t="s">
        <v>14</v>
      </c>
      <c r="F334">
        <v>2</v>
      </c>
      <c r="G334">
        <v>209</v>
      </c>
      <c r="H334">
        <v>0</v>
      </c>
      <c r="I334" s="1">
        <v>46173</v>
      </c>
      <c r="J334" s="1">
        <v>46176</v>
      </c>
      <c r="K334" t="s">
        <v>20</v>
      </c>
    </row>
    <row r="335" spans="1:11" x14ac:dyDescent="0.3">
      <c r="A335">
        <v>1343</v>
      </c>
      <c r="B335" t="s">
        <v>59</v>
      </c>
      <c r="C335" t="s">
        <v>31</v>
      </c>
      <c r="D335" t="s">
        <v>34</v>
      </c>
      <c r="E335" t="s">
        <v>39</v>
      </c>
      <c r="F335">
        <v>14</v>
      </c>
      <c r="G335">
        <v>32719</v>
      </c>
      <c r="H335">
        <v>15</v>
      </c>
      <c r="I335" s="1">
        <v>46174</v>
      </c>
      <c r="J335" s="1">
        <v>46179</v>
      </c>
      <c r="K335" t="s">
        <v>15</v>
      </c>
    </row>
    <row r="336" spans="1:11" x14ac:dyDescent="0.3">
      <c r="A336">
        <v>1002</v>
      </c>
      <c r="B336" t="s">
        <v>16</v>
      </c>
      <c r="C336" t="s">
        <v>17</v>
      </c>
      <c r="D336" t="s">
        <v>18</v>
      </c>
      <c r="E336" t="s">
        <v>19</v>
      </c>
      <c r="F336">
        <v>7</v>
      </c>
      <c r="G336">
        <v>8448</v>
      </c>
      <c r="H336">
        <v>12</v>
      </c>
      <c r="I336" s="1">
        <v>46174</v>
      </c>
      <c r="J336" s="1">
        <v>46179</v>
      </c>
      <c r="K336" t="s">
        <v>20</v>
      </c>
    </row>
    <row r="337" spans="1:11" x14ac:dyDescent="0.3">
      <c r="A337">
        <v>1262</v>
      </c>
      <c r="B337" t="s">
        <v>16</v>
      </c>
      <c r="C337" t="s">
        <v>22</v>
      </c>
      <c r="D337" t="s">
        <v>18</v>
      </c>
      <c r="E337" t="s">
        <v>28</v>
      </c>
      <c r="F337">
        <v>9</v>
      </c>
      <c r="G337">
        <v>2231</v>
      </c>
      <c r="H337">
        <v>15</v>
      </c>
      <c r="I337" s="1">
        <v>46174</v>
      </c>
      <c r="J337" s="1">
        <v>46183</v>
      </c>
      <c r="K337" t="s">
        <v>15</v>
      </c>
    </row>
    <row r="338" spans="1:11" x14ac:dyDescent="0.3">
      <c r="A338">
        <v>1015</v>
      </c>
      <c r="B338" t="s">
        <v>42</v>
      </c>
      <c r="C338" t="s">
        <v>43</v>
      </c>
      <c r="D338" t="s">
        <v>18</v>
      </c>
      <c r="E338" t="s">
        <v>44</v>
      </c>
      <c r="F338">
        <v>11</v>
      </c>
      <c r="G338">
        <v>14511</v>
      </c>
      <c r="H338">
        <v>2</v>
      </c>
      <c r="I338" s="1">
        <v>46175</v>
      </c>
      <c r="J338" s="1">
        <v>46185</v>
      </c>
      <c r="K338" t="s">
        <v>20</v>
      </c>
    </row>
    <row r="339" spans="1:11" x14ac:dyDescent="0.3">
      <c r="A339">
        <v>1093</v>
      </c>
      <c r="B339" t="s">
        <v>47</v>
      </c>
      <c r="C339" t="s">
        <v>25</v>
      </c>
      <c r="D339" t="s">
        <v>18</v>
      </c>
      <c r="E339" t="s">
        <v>23</v>
      </c>
      <c r="F339">
        <v>6</v>
      </c>
      <c r="G339">
        <v>8224</v>
      </c>
      <c r="H339">
        <v>15</v>
      </c>
      <c r="I339" s="1">
        <v>46175</v>
      </c>
      <c r="J339" s="1">
        <v>46185</v>
      </c>
      <c r="K339" t="s">
        <v>51</v>
      </c>
    </row>
    <row r="340" spans="1:11" x14ac:dyDescent="0.3">
      <c r="A340">
        <v>1025</v>
      </c>
      <c r="B340" t="s">
        <v>21</v>
      </c>
      <c r="C340" t="s">
        <v>12</v>
      </c>
      <c r="D340" t="s">
        <v>18</v>
      </c>
      <c r="E340" t="s">
        <v>19</v>
      </c>
      <c r="F340">
        <v>18</v>
      </c>
      <c r="G340">
        <v>7924</v>
      </c>
      <c r="H340">
        <v>0</v>
      </c>
      <c r="I340" s="1">
        <v>46175</v>
      </c>
      <c r="J340" s="1">
        <v>46181</v>
      </c>
      <c r="K340" t="s">
        <v>15</v>
      </c>
    </row>
    <row r="341" spans="1:11" x14ac:dyDescent="0.3">
      <c r="A341">
        <v>1211</v>
      </c>
      <c r="B341" t="s">
        <v>48</v>
      </c>
      <c r="C341" t="s">
        <v>17</v>
      </c>
      <c r="D341" t="s">
        <v>34</v>
      </c>
      <c r="E341" t="s">
        <v>35</v>
      </c>
      <c r="F341">
        <v>3</v>
      </c>
      <c r="G341">
        <v>5962</v>
      </c>
      <c r="H341">
        <v>7</v>
      </c>
      <c r="I341" s="1">
        <v>46175</v>
      </c>
      <c r="J341" s="1">
        <v>46183</v>
      </c>
      <c r="K341" t="s">
        <v>15</v>
      </c>
    </row>
    <row r="342" spans="1:11" x14ac:dyDescent="0.3">
      <c r="A342">
        <v>1245</v>
      </c>
      <c r="B342" t="s">
        <v>55</v>
      </c>
      <c r="C342" t="s">
        <v>43</v>
      </c>
      <c r="D342" t="s">
        <v>34</v>
      </c>
      <c r="E342" t="s">
        <v>41</v>
      </c>
      <c r="F342">
        <v>19</v>
      </c>
      <c r="G342">
        <v>69029</v>
      </c>
      <c r="H342">
        <v>7</v>
      </c>
      <c r="I342" s="1">
        <v>46176</v>
      </c>
      <c r="J342" s="1">
        <v>46179</v>
      </c>
      <c r="K342" t="s">
        <v>29</v>
      </c>
    </row>
    <row r="343" spans="1:11" x14ac:dyDescent="0.3">
      <c r="A343">
        <v>1282</v>
      </c>
      <c r="B343" t="s">
        <v>57</v>
      </c>
      <c r="C343" t="s">
        <v>43</v>
      </c>
      <c r="D343" t="s">
        <v>18</v>
      </c>
      <c r="E343" t="s">
        <v>44</v>
      </c>
      <c r="F343">
        <v>12</v>
      </c>
      <c r="G343">
        <v>3178</v>
      </c>
      <c r="H343">
        <v>10</v>
      </c>
      <c r="I343" s="1">
        <v>46176</v>
      </c>
      <c r="J343" s="1">
        <v>46177</v>
      </c>
      <c r="K343" t="s">
        <v>29</v>
      </c>
    </row>
    <row r="344" spans="1:11" x14ac:dyDescent="0.3">
      <c r="A344">
        <v>1338</v>
      </c>
      <c r="B344" t="s">
        <v>59</v>
      </c>
      <c r="C344" t="s">
        <v>25</v>
      </c>
      <c r="D344" t="s">
        <v>34</v>
      </c>
      <c r="E344" t="s">
        <v>60</v>
      </c>
      <c r="F344">
        <v>10</v>
      </c>
      <c r="G344">
        <v>16719</v>
      </c>
      <c r="H344">
        <v>5</v>
      </c>
      <c r="I344" s="1">
        <v>46177</v>
      </c>
      <c r="J344" s="1">
        <v>46179</v>
      </c>
      <c r="K344" t="s">
        <v>15</v>
      </c>
    </row>
    <row r="345" spans="1:11" x14ac:dyDescent="0.3">
      <c r="A345">
        <v>1187</v>
      </c>
      <c r="B345" t="s">
        <v>54</v>
      </c>
      <c r="C345" t="s">
        <v>22</v>
      </c>
      <c r="D345" t="s">
        <v>34</v>
      </c>
      <c r="E345" t="s">
        <v>45</v>
      </c>
      <c r="F345">
        <v>18</v>
      </c>
      <c r="G345">
        <v>68527</v>
      </c>
      <c r="H345">
        <v>12</v>
      </c>
      <c r="I345" s="1">
        <v>46178</v>
      </c>
      <c r="J345" s="1">
        <v>46184</v>
      </c>
      <c r="K345" t="s">
        <v>51</v>
      </c>
    </row>
    <row r="346" spans="1:11" x14ac:dyDescent="0.3">
      <c r="A346">
        <v>1297</v>
      </c>
      <c r="B346" t="s">
        <v>54</v>
      </c>
      <c r="C346" t="s">
        <v>25</v>
      </c>
      <c r="D346" t="s">
        <v>34</v>
      </c>
      <c r="E346" t="s">
        <v>35</v>
      </c>
      <c r="F346">
        <v>14</v>
      </c>
      <c r="G346">
        <v>24524</v>
      </c>
      <c r="H346">
        <v>10</v>
      </c>
      <c r="I346" s="1">
        <v>46178</v>
      </c>
      <c r="J346" s="1">
        <v>46187</v>
      </c>
      <c r="K346" t="s">
        <v>29</v>
      </c>
    </row>
    <row r="347" spans="1:11" x14ac:dyDescent="0.3">
      <c r="A347">
        <v>1231</v>
      </c>
      <c r="B347" t="s">
        <v>48</v>
      </c>
      <c r="C347" t="s">
        <v>38</v>
      </c>
      <c r="D347" t="s">
        <v>18</v>
      </c>
      <c r="E347" t="s">
        <v>19</v>
      </c>
      <c r="F347">
        <v>13</v>
      </c>
      <c r="G347">
        <v>10297</v>
      </c>
      <c r="H347">
        <v>12</v>
      </c>
      <c r="I347" s="1">
        <v>46178</v>
      </c>
      <c r="J347" s="1">
        <v>46186</v>
      </c>
      <c r="K347" t="s">
        <v>20</v>
      </c>
    </row>
    <row r="348" spans="1:11" x14ac:dyDescent="0.3">
      <c r="A348">
        <v>1118</v>
      </c>
      <c r="B348" t="s">
        <v>21</v>
      </c>
      <c r="C348" t="s">
        <v>22</v>
      </c>
      <c r="D348" t="s">
        <v>18</v>
      </c>
      <c r="E348" t="s">
        <v>23</v>
      </c>
      <c r="F348">
        <v>18</v>
      </c>
      <c r="G348">
        <v>9118</v>
      </c>
      <c r="H348">
        <v>5</v>
      </c>
      <c r="I348" s="1">
        <v>46178</v>
      </c>
      <c r="J348" s="1">
        <v>46187</v>
      </c>
      <c r="K348" t="s">
        <v>29</v>
      </c>
    </row>
    <row r="349" spans="1:11" x14ac:dyDescent="0.3">
      <c r="A349">
        <v>1154</v>
      </c>
      <c r="B349" t="s">
        <v>32</v>
      </c>
      <c r="C349" t="s">
        <v>17</v>
      </c>
      <c r="D349" t="s">
        <v>18</v>
      </c>
      <c r="E349" t="s">
        <v>56</v>
      </c>
      <c r="F349">
        <v>15</v>
      </c>
      <c r="G349">
        <v>6101</v>
      </c>
      <c r="H349">
        <v>0</v>
      </c>
      <c r="I349" s="1">
        <v>46178</v>
      </c>
      <c r="J349" s="1">
        <v>46183</v>
      </c>
      <c r="K349" t="s">
        <v>51</v>
      </c>
    </row>
    <row r="350" spans="1:11" x14ac:dyDescent="0.3">
      <c r="A350">
        <v>1199</v>
      </c>
      <c r="B350" t="s">
        <v>11</v>
      </c>
      <c r="C350" t="s">
        <v>25</v>
      </c>
      <c r="D350" t="s">
        <v>34</v>
      </c>
      <c r="E350" t="s">
        <v>45</v>
      </c>
      <c r="F350">
        <v>2</v>
      </c>
      <c r="G350">
        <v>4375</v>
      </c>
      <c r="H350">
        <v>7</v>
      </c>
      <c r="I350" s="1">
        <v>46178</v>
      </c>
      <c r="J350" s="1">
        <v>46180</v>
      </c>
      <c r="K350" t="s">
        <v>24</v>
      </c>
    </row>
    <row r="351" spans="1:11" x14ac:dyDescent="0.3">
      <c r="A351">
        <v>1376</v>
      </c>
      <c r="B351" t="s">
        <v>52</v>
      </c>
      <c r="C351" t="s">
        <v>31</v>
      </c>
      <c r="D351" t="s">
        <v>13</v>
      </c>
      <c r="E351" t="s">
        <v>50</v>
      </c>
      <c r="F351">
        <v>20</v>
      </c>
      <c r="G351">
        <v>429</v>
      </c>
      <c r="H351">
        <v>5</v>
      </c>
      <c r="I351" s="1">
        <v>46178</v>
      </c>
      <c r="J351" s="1">
        <v>46184</v>
      </c>
      <c r="K351" t="s">
        <v>20</v>
      </c>
    </row>
    <row r="352" spans="1:11" x14ac:dyDescent="0.3">
      <c r="A352">
        <v>1274</v>
      </c>
      <c r="B352" t="s">
        <v>26</v>
      </c>
      <c r="C352" t="s">
        <v>25</v>
      </c>
      <c r="D352" t="s">
        <v>34</v>
      </c>
      <c r="E352" t="s">
        <v>41</v>
      </c>
      <c r="F352">
        <v>13</v>
      </c>
      <c r="G352">
        <v>36652</v>
      </c>
      <c r="H352">
        <v>12</v>
      </c>
      <c r="I352" s="1">
        <v>46179</v>
      </c>
      <c r="J352" s="1">
        <v>46186</v>
      </c>
      <c r="K352" t="s">
        <v>20</v>
      </c>
    </row>
    <row r="353" spans="1:11" x14ac:dyDescent="0.3">
      <c r="A353">
        <v>1288</v>
      </c>
      <c r="B353" t="s">
        <v>54</v>
      </c>
      <c r="C353" t="s">
        <v>22</v>
      </c>
      <c r="D353" t="s">
        <v>34</v>
      </c>
      <c r="E353" t="s">
        <v>60</v>
      </c>
      <c r="F353">
        <v>14</v>
      </c>
      <c r="G353">
        <v>35601</v>
      </c>
      <c r="H353">
        <v>10</v>
      </c>
      <c r="I353" s="1">
        <v>46179</v>
      </c>
      <c r="J353" s="1">
        <v>46187</v>
      </c>
      <c r="K353" t="s">
        <v>29</v>
      </c>
    </row>
    <row r="354" spans="1:11" x14ac:dyDescent="0.3">
      <c r="A354">
        <v>1278</v>
      </c>
      <c r="B354" t="s">
        <v>47</v>
      </c>
      <c r="C354" t="s">
        <v>22</v>
      </c>
      <c r="D354" t="s">
        <v>34</v>
      </c>
      <c r="E354" t="s">
        <v>61</v>
      </c>
      <c r="F354">
        <v>4</v>
      </c>
      <c r="G354">
        <v>20639</v>
      </c>
      <c r="H354">
        <v>7</v>
      </c>
      <c r="I354" s="1">
        <v>46180</v>
      </c>
      <c r="J354" s="1">
        <v>46186</v>
      </c>
      <c r="K354" t="s">
        <v>20</v>
      </c>
    </row>
    <row r="355" spans="1:11" x14ac:dyDescent="0.3">
      <c r="A355">
        <v>1048</v>
      </c>
      <c r="B355" t="s">
        <v>59</v>
      </c>
      <c r="C355" t="s">
        <v>25</v>
      </c>
      <c r="D355" t="s">
        <v>34</v>
      </c>
      <c r="E355" t="s">
        <v>60</v>
      </c>
      <c r="F355">
        <v>14</v>
      </c>
      <c r="G355">
        <v>11762</v>
      </c>
      <c r="H355">
        <v>7</v>
      </c>
      <c r="I355" s="1">
        <v>46180</v>
      </c>
      <c r="J355" s="1">
        <v>46186</v>
      </c>
      <c r="K355" t="s">
        <v>24</v>
      </c>
    </row>
    <row r="356" spans="1:11" x14ac:dyDescent="0.3">
      <c r="A356">
        <v>1294</v>
      </c>
      <c r="B356" t="s">
        <v>21</v>
      </c>
      <c r="C356" t="s">
        <v>12</v>
      </c>
      <c r="D356" t="s">
        <v>18</v>
      </c>
      <c r="E356" t="s">
        <v>19</v>
      </c>
      <c r="F356">
        <v>8</v>
      </c>
      <c r="G356">
        <v>14448</v>
      </c>
      <c r="H356">
        <v>10</v>
      </c>
      <c r="I356" s="1">
        <v>46181</v>
      </c>
      <c r="J356" s="1">
        <v>46189</v>
      </c>
      <c r="K356" t="s">
        <v>15</v>
      </c>
    </row>
    <row r="357" spans="1:11" x14ac:dyDescent="0.3">
      <c r="A357">
        <v>1310</v>
      </c>
      <c r="B357" t="s">
        <v>49</v>
      </c>
      <c r="C357" t="s">
        <v>17</v>
      </c>
      <c r="D357" t="s">
        <v>18</v>
      </c>
      <c r="E357" t="s">
        <v>56</v>
      </c>
      <c r="F357">
        <v>19</v>
      </c>
      <c r="G357">
        <v>12691</v>
      </c>
      <c r="H357">
        <v>0</v>
      </c>
      <c r="I357" s="1">
        <v>46181</v>
      </c>
      <c r="J357" s="1">
        <v>46189</v>
      </c>
      <c r="K357" t="s">
        <v>29</v>
      </c>
    </row>
    <row r="358" spans="1:11" x14ac:dyDescent="0.3">
      <c r="A358">
        <v>1124</v>
      </c>
      <c r="B358" t="s">
        <v>27</v>
      </c>
      <c r="C358" t="s">
        <v>38</v>
      </c>
      <c r="D358" t="s">
        <v>18</v>
      </c>
      <c r="E358" t="s">
        <v>56</v>
      </c>
      <c r="F358">
        <v>4</v>
      </c>
      <c r="G358">
        <v>14195</v>
      </c>
      <c r="H358">
        <v>15</v>
      </c>
      <c r="I358" s="1">
        <v>46182</v>
      </c>
      <c r="J358" s="1">
        <v>46189</v>
      </c>
      <c r="K358" t="s">
        <v>51</v>
      </c>
    </row>
    <row r="359" spans="1:11" x14ac:dyDescent="0.3">
      <c r="A359">
        <v>1009</v>
      </c>
      <c r="B359" t="s">
        <v>32</v>
      </c>
      <c r="C359" t="s">
        <v>33</v>
      </c>
      <c r="D359" t="s">
        <v>34</v>
      </c>
      <c r="E359" t="s">
        <v>35</v>
      </c>
      <c r="F359">
        <v>10</v>
      </c>
      <c r="G359">
        <v>40671</v>
      </c>
      <c r="H359">
        <v>12</v>
      </c>
      <c r="I359" s="1">
        <v>46183</v>
      </c>
      <c r="J359" s="1">
        <v>46193</v>
      </c>
      <c r="K359" t="s">
        <v>24</v>
      </c>
    </row>
    <row r="360" spans="1:11" x14ac:dyDescent="0.3">
      <c r="A360">
        <v>1003</v>
      </c>
      <c r="B360" t="s">
        <v>21</v>
      </c>
      <c r="C360" t="s">
        <v>22</v>
      </c>
      <c r="D360" t="s">
        <v>18</v>
      </c>
      <c r="E360" t="s">
        <v>23</v>
      </c>
      <c r="F360">
        <v>20</v>
      </c>
      <c r="G360">
        <v>2123</v>
      </c>
      <c r="H360">
        <v>15</v>
      </c>
      <c r="I360" s="1">
        <v>46183</v>
      </c>
      <c r="J360" s="1">
        <v>46192</v>
      </c>
      <c r="K360" t="s">
        <v>24</v>
      </c>
    </row>
    <row r="361" spans="1:11" x14ac:dyDescent="0.3">
      <c r="A361">
        <v>1320</v>
      </c>
      <c r="B361" t="s">
        <v>47</v>
      </c>
      <c r="C361" t="s">
        <v>38</v>
      </c>
      <c r="D361" t="s">
        <v>13</v>
      </c>
      <c r="E361" t="s">
        <v>36</v>
      </c>
      <c r="F361">
        <v>20</v>
      </c>
      <c r="G361">
        <v>55</v>
      </c>
      <c r="H361">
        <v>7</v>
      </c>
      <c r="I361" s="1">
        <v>46183</v>
      </c>
      <c r="J361" s="1">
        <v>46186</v>
      </c>
      <c r="K361" t="s">
        <v>20</v>
      </c>
    </row>
    <row r="362" spans="1:11" x14ac:dyDescent="0.3">
      <c r="A362">
        <v>1159</v>
      </c>
      <c r="B362" t="s">
        <v>32</v>
      </c>
      <c r="C362" t="s">
        <v>43</v>
      </c>
      <c r="D362" t="s">
        <v>18</v>
      </c>
      <c r="E362" t="s">
        <v>28</v>
      </c>
      <c r="F362">
        <v>20</v>
      </c>
      <c r="G362">
        <v>14000</v>
      </c>
      <c r="H362">
        <v>15</v>
      </c>
      <c r="I362" s="1">
        <v>46184</v>
      </c>
      <c r="J362" s="1">
        <v>46187</v>
      </c>
      <c r="K362" t="s">
        <v>15</v>
      </c>
    </row>
    <row r="363" spans="1:11" x14ac:dyDescent="0.3">
      <c r="A363">
        <v>1189</v>
      </c>
      <c r="B363" t="s">
        <v>49</v>
      </c>
      <c r="C363" t="s">
        <v>31</v>
      </c>
      <c r="D363" t="s">
        <v>18</v>
      </c>
      <c r="E363" t="s">
        <v>56</v>
      </c>
      <c r="F363">
        <v>12</v>
      </c>
      <c r="G363">
        <v>8327</v>
      </c>
      <c r="H363">
        <v>10</v>
      </c>
      <c r="I363" s="1">
        <v>46184</v>
      </c>
      <c r="J363" s="1">
        <v>46185</v>
      </c>
      <c r="K363" t="s">
        <v>29</v>
      </c>
    </row>
    <row r="364" spans="1:11" x14ac:dyDescent="0.3">
      <c r="A364">
        <v>1119</v>
      </c>
      <c r="B364" t="s">
        <v>30</v>
      </c>
      <c r="C364" t="s">
        <v>43</v>
      </c>
      <c r="D364" t="s">
        <v>18</v>
      </c>
      <c r="E364" t="s">
        <v>28</v>
      </c>
      <c r="F364">
        <v>2</v>
      </c>
      <c r="G364">
        <v>3706</v>
      </c>
      <c r="H364">
        <v>5</v>
      </c>
      <c r="I364" s="1">
        <v>46184</v>
      </c>
      <c r="J364" s="1">
        <v>46192</v>
      </c>
      <c r="K364" t="s">
        <v>51</v>
      </c>
    </row>
    <row r="365" spans="1:11" x14ac:dyDescent="0.3">
      <c r="A365">
        <v>1370</v>
      </c>
      <c r="B365" t="s">
        <v>59</v>
      </c>
      <c r="C365" t="s">
        <v>38</v>
      </c>
      <c r="D365" t="s">
        <v>13</v>
      </c>
      <c r="E365" t="s">
        <v>53</v>
      </c>
      <c r="F365">
        <v>13</v>
      </c>
      <c r="G365">
        <v>337</v>
      </c>
      <c r="H365">
        <v>7</v>
      </c>
      <c r="I365" s="1">
        <v>46184</v>
      </c>
      <c r="J365" s="1">
        <v>46188</v>
      </c>
      <c r="K365" t="s">
        <v>15</v>
      </c>
    </row>
    <row r="366" spans="1:11" x14ac:dyDescent="0.3">
      <c r="A366">
        <v>1137</v>
      </c>
      <c r="B366" t="s">
        <v>52</v>
      </c>
      <c r="C366" t="s">
        <v>12</v>
      </c>
      <c r="D366" t="s">
        <v>13</v>
      </c>
      <c r="E366" t="s">
        <v>37</v>
      </c>
      <c r="F366">
        <v>16</v>
      </c>
      <c r="G366">
        <v>270</v>
      </c>
      <c r="H366">
        <v>10</v>
      </c>
      <c r="I366" s="1">
        <v>46184</v>
      </c>
      <c r="J366" s="1">
        <v>46190</v>
      </c>
      <c r="K366" t="s">
        <v>29</v>
      </c>
    </row>
    <row r="367" spans="1:11" x14ac:dyDescent="0.3">
      <c r="A367">
        <v>1075</v>
      </c>
      <c r="B367" t="s">
        <v>42</v>
      </c>
      <c r="C367" t="s">
        <v>43</v>
      </c>
      <c r="D367" t="s">
        <v>34</v>
      </c>
      <c r="E367" t="s">
        <v>61</v>
      </c>
      <c r="F367">
        <v>4</v>
      </c>
      <c r="G367">
        <v>64773</v>
      </c>
      <c r="H367">
        <v>10</v>
      </c>
      <c r="I367" s="1">
        <v>46185</v>
      </c>
      <c r="J367" s="1">
        <v>46186</v>
      </c>
      <c r="K367" t="s">
        <v>51</v>
      </c>
    </row>
    <row r="368" spans="1:11" x14ac:dyDescent="0.3">
      <c r="A368">
        <v>1350</v>
      </c>
      <c r="B368" t="s">
        <v>26</v>
      </c>
      <c r="C368" t="s">
        <v>43</v>
      </c>
      <c r="D368" t="s">
        <v>18</v>
      </c>
      <c r="E368" t="s">
        <v>28</v>
      </c>
      <c r="F368">
        <v>16</v>
      </c>
      <c r="G368">
        <v>11790</v>
      </c>
      <c r="H368">
        <v>12</v>
      </c>
      <c r="I368" s="1">
        <v>46185</v>
      </c>
      <c r="J368" s="1">
        <v>46190</v>
      </c>
      <c r="K368" t="s">
        <v>29</v>
      </c>
    </row>
    <row r="369" spans="1:11" x14ac:dyDescent="0.3">
      <c r="A369">
        <v>1083</v>
      </c>
      <c r="B369" t="s">
        <v>55</v>
      </c>
      <c r="C369" t="s">
        <v>33</v>
      </c>
      <c r="D369" t="s">
        <v>13</v>
      </c>
      <c r="E369" t="s">
        <v>53</v>
      </c>
      <c r="F369">
        <v>4</v>
      </c>
      <c r="G369">
        <v>397</v>
      </c>
      <c r="H369">
        <v>7</v>
      </c>
      <c r="I369" s="1">
        <v>46185</v>
      </c>
      <c r="J369" s="1">
        <v>46193</v>
      </c>
      <c r="K369" t="s">
        <v>15</v>
      </c>
    </row>
    <row r="370" spans="1:11" x14ac:dyDescent="0.3">
      <c r="A370">
        <v>1064</v>
      </c>
      <c r="B370" t="s">
        <v>26</v>
      </c>
      <c r="C370" t="s">
        <v>17</v>
      </c>
      <c r="D370" t="s">
        <v>13</v>
      </c>
      <c r="E370" t="s">
        <v>50</v>
      </c>
      <c r="F370">
        <v>20</v>
      </c>
      <c r="G370">
        <v>191</v>
      </c>
      <c r="H370">
        <v>7</v>
      </c>
      <c r="I370" s="1">
        <v>46185</v>
      </c>
      <c r="J370" s="1">
        <v>46195</v>
      </c>
      <c r="K370" t="s">
        <v>29</v>
      </c>
    </row>
    <row r="371" spans="1:11" x14ac:dyDescent="0.3">
      <c r="A371">
        <v>1041</v>
      </c>
      <c r="B371" t="s">
        <v>54</v>
      </c>
      <c r="C371" t="s">
        <v>38</v>
      </c>
      <c r="D371" t="s">
        <v>13</v>
      </c>
      <c r="E371" t="s">
        <v>50</v>
      </c>
      <c r="F371">
        <v>9</v>
      </c>
      <c r="G371">
        <v>71</v>
      </c>
      <c r="H371">
        <v>7</v>
      </c>
      <c r="I371" s="1">
        <v>46185</v>
      </c>
      <c r="J371" s="1">
        <v>46188</v>
      </c>
      <c r="K371" t="s">
        <v>15</v>
      </c>
    </row>
    <row r="372" spans="1:11" x14ac:dyDescent="0.3">
      <c r="A372">
        <v>1315</v>
      </c>
      <c r="B372" t="s">
        <v>49</v>
      </c>
      <c r="C372" t="s">
        <v>31</v>
      </c>
      <c r="D372" t="s">
        <v>34</v>
      </c>
      <c r="E372" t="s">
        <v>41</v>
      </c>
      <c r="F372">
        <v>14</v>
      </c>
      <c r="G372">
        <v>57670</v>
      </c>
      <c r="H372">
        <v>2</v>
      </c>
      <c r="I372" s="1">
        <v>46186</v>
      </c>
      <c r="J372" s="1">
        <v>46196</v>
      </c>
      <c r="K372" t="s">
        <v>15</v>
      </c>
    </row>
    <row r="373" spans="1:11" x14ac:dyDescent="0.3">
      <c r="A373">
        <v>1292</v>
      </c>
      <c r="B373" t="s">
        <v>54</v>
      </c>
      <c r="C373" t="s">
        <v>33</v>
      </c>
      <c r="D373" t="s">
        <v>34</v>
      </c>
      <c r="E373" t="s">
        <v>61</v>
      </c>
      <c r="F373">
        <v>11</v>
      </c>
      <c r="G373">
        <v>25158</v>
      </c>
      <c r="H373">
        <v>5</v>
      </c>
      <c r="I373" s="1">
        <v>46186</v>
      </c>
      <c r="J373" s="1">
        <v>46193</v>
      </c>
      <c r="K373" t="s">
        <v>20</v>
      </c>
    </row>
    <row r="374" spans="1:11" x14ac:dyDescent="0.3">
      <c r="A374">
        <v>1186</v>
      </c>
      <c r="B374" t="s">
        <v>16</v>
      </c>
      <c r="C374" t="s">
        <v>25</v>
      </c>
      <c r="D374" t="s">
        <v>18</v>
      </c>
      <c r="E374" t="s">
        <v>44</v>
      </c>
      <c r="F374">
        <v>10</v>
      </c>
      <c r="G374">
        <v>14951</v>
      </c>
      <c r="H374">
        <v>2</v>
      </c>
      <c r="I374" s="1">
        <v>46188</v>
      </c>
      <c r="J374" s="1">
        <v>46196</v>
      </c>
      <c r="K374" t="s">
        <v>24</v>
      </c>
    </row>
    <row r="375" spans="1:11" x14ac:dyDescent="0.3">
      <c r="A375">
        <v>1146</v>
      </c>
      <c r="B375" t="s">
        <v>16</v>
      </c>
      <c r="C375" t="s">
        <v>43</v>
      </c>
      <c r="D375" t="s">
        <v>34</v>
      </c>
      <c r="E375" t="s">
        <v>45</v>
      </c>
      <c r="F375">
        <v>7</v>
      </c>
      <c r="G375">
        <v>68217</v>
      </c>
      <c r="H375">
        <v>0</v>
      </c>
      <c r="I375" s="1">
        <v>46190</v>
      </c>
      <c r="J375" s="1">
        <v>46197</v>
      </c>
      <c r="K375" t="s">
        <v>29</v>
      </c>
    </row>
    <row r="376" spans="1:11" x14ac:dyDescent="0.3">
      <c r="A376">
        <v>1331</v>
      </c>
      <c r="B376" t="s">
        <v>21</v>
      </c>
      <c r="C376" t="s">
        <v>25</v>
      </c>
      <c r="D376" t="s">
        <v>34</v>
      </c>
      <c r="E376" t="s">
        <v>61</v>
      </c>
      <c r="F376">
        <v>2</v>
      </c>
      <c r="G376">
        <v>43557</v>
      </c>
      <c r="H376">
        <v>2</v>
      </c>
      <c r="I376" s="1">
        <v>46190</v>
      </c>
      <c r="J376" s="1">
        <v>46200</v>
      </c>
      <c r="K376" t="s">
        <v>15</v>
      </c>
    </row>
    <row r="377" spans="1:11" x14ac:dyDescent="0.3">
      <c r="A377">
        <v>1062</v>
      </c>
      <c r="B377" t="s">
        <v>40</v>
      </c>
      <c r="C377" t="s">
        <v>43</v>
      </c>
      <c r="D377" t="s">
        <v>18</v>
      </c>
      <c r="E377" t="s">
        <v>23</v>
      </c>
      <c r="F377">
        <v>8</v>
      </c>
      <c r="G377">
        <v>8360</v>
      </c>
      <c r="H377">
        <v>2</v>
      </c>
      <c r="I377" s="1">
        <v>46190</v>
      </c>
      <c r="J377" s="1">
        <v>46200</v>
      </c>
      <c r="K377" t="s">
        <v>51</v>
      </c>
    </row>
    <row r="378" spans="1:11" x14ac:dyDescent="0.3">
      <c r="A378">
        <v>1373</v>
      </c>
      <c r="B378" t="s">
        <v>54</v>
      </c>
      <c r="C378" t="s">
        <v>25</v>
      </c>
      <c r="D378" t="s">
        <v>34</v>
      </c>
      <c r="E378" t="s">
        <v>60</v>
      </c>
      <c r="F378">
        <v>11</v>
      </c>
      <c r="G378">
        <v>47930</v>
      </c>
      <c r="H378">
        <v>12</v>
      </c>
      <c r="I378" s="1">
        <v>46191</v>
      </c>
      <c r="J378" s="1">
        <v>46201</v>
      </c>
      <c r="K378" t="s">
        <v>20</v>
      </c>
    </row>
    <row r="379" spans="1:11" x14ac:dyDescent="0.3">
      <c r="A379">
        <v>1306</v>
      </c>
      <c r="B379" t="s">
        <v>54</v>
      </c>
      <c r="C379" t="s">
        <v>43</v>
      </c>
      <c r="D379" t="s">
        <v>13</v>
      </c>
      <c r="E379" t="s">
        <v>36</v>
      </c>
      <c r="F379">
        <v>1</v>
      </c>
      <c r="G379">
        <v>332</v>
      </c>
      <c r="H379">
        <v>0</v>
      </c>
      <c r="I379" s="1">
        <v>46191</v>
      </c>
      <c r="J379" s="1">
        <v>46194</v>
      </c>
      <c r="K379" t="s">
        <v>20</v>
      </c>
    </row>
    <row r="380" spans="1:11" x14ac:dyDescent="0.3">
      <c r="A380">
        <v>1242</v>
      </c>
      <c r="B380" t="s">
        <v>54</v>
      </c>
      <c r="C380" t="s">
        <v>38</v>
      </c>
      <c r="D380" t="s">
        <v>13</v>
      </c>
      <c r="E380" t="s">
        <v>50</v>
      </c>
      <c r="F380">
        <v>7</v>
      </c>
      <c r="G380">
        <v>168</v>
      </c>
      <c r="H380">
        <v>10</v>
      </c>
      <c r="I380" s="1">
        <v>46191</v>
      </c>
      <c r="J380" s="1">
        <v>46196</v>
      </c>
      <c r="K380" t="s">
        <v>51</v>
      </c>
    </row>
    <row r="381" spans="1:11" x14ac:dyDescent="0.3">
      <c r="A381">
        <v>1065</v>
      </c>
      <c r="B381" t="s">
        <v>42</v>
      </c>
      <c r="C381" t="s">
        <v>43</v>
      </c>
      <c r="D381" t="s">
        <v>18</v>
      </c>
      <c r="E381" t="s">
        <v>44</v>
      </c>
      <c r="F381">
        <v>1</v>
      </c>
      <c r="G381">
        <v>7730</v>
      </c>
      <c r="H381">
        <v>5</v>
      </c>
      <c r="I381" s="1">
        <v>46192</v>
      </c>
      <c r="J381" s="1">
        <v>46195</v>
      </c>
      <c r="K381" t="s">
        <v>51</v>
      </c>
    </row>
    <row r="382" spans="1:11" x14ac:dyDescent="0.3">
      <c r="A382">
        <v>1023</v>
      </c>
      <c r="B382" t="s">
        <v>40</v>
      </c>
      <c r="C382" t="s">
        <v>12</v>
      </c>
      <c r="D382" t="s">
        <v>18</v>
      </c>
      <c r="E382" t="s">
        <v>44</v>
      </c>
      <c r="F382">
        <v>15</v>
      </c>
      <c r="G382">
        <v>3506</v>
      </c>
      <c r="H382">
        <v>2</v>
      </c>
      <c r="I382" s="1">
        <v>46193</v>
      </c>
      <c r="J382" s="1">
        <v>46194</v>
      </c>
      <c r="K382" t="s">
        <v>29</v>
      </c>
    </row>
    <row r="383" spans="1:11" x14ac:dyDescent="0.3">
      <c r="A383">
        <v>1212</v>
      </c>
      <c r="B383" t="s">
        <v>59</v>
      </c>
      <c r="C383" t="s">
        <v>25</v>
      </c>
      <c r="D383" t="s">
        <v>34</v>
      </c>
      <c r="E383" t="s">
        <v>60</v>
      </c>
      <c r="F383">
        <v>10</v>
      </c>
      <c r="G383">
        <v>34380</v>
      </c>
      <c r="H383">
        <v>7</v>
      </c>
      <c r="I383" s="1">
        <v>46194</v>
      </c>
      <c r="J383" s="1">
        <v>46195</v>
      </c>
      <c r="K383" t="s">
        <v>29</v>
      </c>
    </row>
    <row r="384" spans="1:11" x14ac:dyDescent="0.3">
      <c r="A384">
        <v>1397</v>
      </c>
      <c r="B384" t="s">
        <v>21</v>
      </c>
      <c r="C384" t="s">
        <v>33</v>
      </c>
      <c r="D384" t="s">
        <v>18</v>
      </c>
      <c r="E384" t="s">
        <v>23</v>
      </c>
      <c r="F384">
        <v>1</v>
      </c>
      <c r="G384">
        <v>8948</v>
      </c>
      <c r="H384">
        <v>5</v>
      </c>
      <c r="I384" s="1">
        <v>46194</v>
      </c>
      <c r="J384" s="1">
        <v>46201</v>
      </c>
      <c r="K384" t="s">
        <v>51</v>
      </c>
    </row>
    <row r="385" spans="1:11" x14ac:dyDescent="0.3">
      <c r="A385">
        <v>1353</v>
      </c>
      <c r="B385" t="s">
        <v>47</v>
      </c>
      <c r="C385" t="s">
        <v>43</v>
      </c>
      <c r="D385" t="s">
        <v>13</v>
      </c>
      <c r="E385" t="s">
        <v>14</v>
      </c>
      <c r="F385">
        <v>6</v>
      </c>
      <c r="G385">
        <v>495</v>
      </c>
      <c r="H385">
        <v>2</v>
      </c>
      <c r="I385" s="1">
        <v>46194</v>
      </c>
      <c r="J385" s="1">
        <v>46200</v>
      </c>
      <c r="K385" t="s">
        <v>24</v>
      </c>
    </row>
    <row r="386" spans="1:11" x14ac:dyDescent="0.3">
      <c r="A386">
        <v>1164</v>
      </c>
      <c r="B386" t="s">
        <v>40</v>
      </c>
      <c r="C386" t="s">
        <v>43</v>
      </c>
      <c r="D386" t="s">
        <v>34</v>
      </c>
      <c r="E386" t="s">
        <v>61</v>
      </c>
      <c r="F386">
        <v>7</v>
      </c>
      <c r="G386">
        <v>24615</v>
      </c>
      <c r="H386">
        <v>12</v>
      </c>
      <c r="I386" s="1">
        <v>46196</v>
      </c>
      <c r="J386" s="1">
        <v>46203</v>
      </c>
      <c r="K386" t="s">
        <v>51</v>
      </c>
    </row>
    <row r="387" spans="1:11" x14ac:dyDescent="0.3">
      <c r="A387">
        <v>1068</v>
      </c>
      <c r="B387" t="s">
        <v>52</v>
      </c>
      <c r="C387" t="s">
        <v>43</v>
      </c>
      <c r="D387" t="s">
        <v>34</v>
      </c>
      <c r="E387" t="s">
        <v>60</v>
      </c>
      <c r="F387">
        <v>15</v>
      </c>
      <c r="G387">
        <v>14534</v>
      </c>
      <c r="H387">
        <v>5</v>
      </c>
      <c r="I387" s="1">
        <v>46196</v>
      </c>
      <c r="J387" s="1">
        <v>46199</v>
      </c>
      <c r="K387" t="s">
        <v>29</v>
      </c>
    </row>
    <row r="388" spans="1:11" x14ac:dyDescent="0.3">
      <c r="A388">
        <v>1314</v>
      </c>
      <c r="B388" t="s">
        <v>52</v>
      </c>
      <c r="C388" t="s">
        <v>33</v>
      </c>
      <c r="D388" t="s">
        <v>18</v>
      </c>
      <c r="E388" t="s">
        <v>19</v>
      </c>
      <c r="F388">
        <v>10</v>
      </c>
      <c r="G388">
        <v>6328</v>
      </c>
      <c r="H388">
        <v>2</v>
      </c>
      <c r="I388" s="1">
        <v>46196</v>
      </c>
      <c r="J388" s="1">
        <v>46197</v>
      </c>
      <c r="K388" t="s">
        <v>29</v>
      </c>
    </row>
    <row r="389" spans="1:11" x14ac:dyDescent="0.3">
      <c r="A389">
        <v>1340</v>
      </c>
      <c r="B389" t="s">
        <v>48</v>
      </c>
      <c r="C389" t="s">
        <v>17</v>
      </c>
      <c r="D389" t="s">
        <v>18</v>
      </c>
      <c r="E389" t="s">
        <v>19</v>
      </c>
      <c r="F389">
        <v>12</v>
      </c>
      <c r="G389">
        <v>3857</v>
      </c>
      <c r="H389">
        <v>12</v>
      </c>
      <c r="I389" s="1">
        <v>46196</v>
      </c>
      <c r="J389" s="1">
        <v>46198</v>
      </c>
      <c r="K389" t="s">
        <v>51</v>
      </c>
    </row>
    <row r="390" spans="1:11" x14ac:dyDescent="0.3">
      <c r="A390">
        <v>1383</v>
      </c>
      <c r="B390" t="s">
        <v>32</v>
      </c>
      <c r="C390" t="s">
        <v>12</v>
      </c>
      <c r="D390" t="s">
        <v>13</v>
      </c>
      <c r="E390" t="s">
        <v>53</v>
      </c>
      <c r="F390">
        <v>14</v>
      </c>
      <c r="G390">
        <v>334</v>
      </c>
      <c r="H390">
        <v>10</v>
      </c>
      <c r="I390" s="1">
        <v>46196</v>
      </c>
      <c r="J390" s="1">
        <v>46203</v>
      </c>
      <c r="K390" t="s">
        <v>15</v>
      </c>
    </row>
    <row r="391" spans="1:11" x14ac:dyDescent="0.3">
      <c r="A391">
        <v>1309</v>
      </c>
      <c r="B391" t="s">
        <v>29</v>
      </c>
      <c r="C391" t="s">
        <v>31</v>
      </c>
      <c r="D391" t="s">
        <v>13</v>
      </c>
      <c r="E391" t="s">
        <v>50</v>
      </c>
      <c r="F391">
        <v>2</v>
      </c>
      <c r="G391">
        <v>35</v>
      </c>
      <c r="H391">
        <v>5</v>
      </c>
      <c r="I391" s="1">
        <v>46197</v>
      </c>
      <c r="J391" s="1">
        <v>46198</v>
      </c>
      <c r="K391" t="s">
        <v>24</v>
      </c>
    </row>
    <row r="392" spans="1:11" x14ac:dyDescent="0.3">
      <c r="A392">
        <v>1233</v>
      </c>
      <c r="B392" t="s">
        <v>58</v>
      </c>
      <c r="C392" t="s">
        <v>22</v>
      </c>
      <c r="D392" t="s">
        <v>18</v>
      </c>
      <c r="E392" t="s">
        <v>19</v>
      </c>
      <c r="F392">
        <v>20</v>
      </c>
      <c r="G392">
        <v>13941</v>
      </c>
      <c r="H392">
        <v>15</v>
      </c>
      <c r="I392" s="1">
        <v>46198</v>
      </c>
      <c r="J392" s="1">
        <v>46202</v>
      </c>
      <c r="K392" t="s">
        <v>24</v>
      </c>
    </row>
    <row r="393" spans="1:11" x14ac:dyDescent="0.3">
      <c r="A393">
        <v>1195</v>
      </c>
      <c r="B393" t="s">
        <v>59</v>
      </c>
      <c r="C393" t="s">
        <v>17</v>
      </c>
      <c r="D393" t="s">
        <v>13</v>
      </c>
      <c r="E393" t="s">
        <v>50</v>
      </c>
      <c r="F393">
        <v>19</v>
      </c>
      <c r="G393">
        <v>313</v>
      </c>
      <c r="H393">
        <v>2</v>
      </c>
      <c r="I393" s="1">
        <v>46198</v>
      </c>
      <c r="J393" s="1">
        <v>46206</v>
      </c>
      <c r="K393" t="s">
        <v>51</v>
      </c>
    </row>
    <row r="394" spans="1:11" x14ac:dyDescent="0.3">
      <c r="A394">
        <v>1268</v>
      </c>
      <c r="B394" t="s">
        <v>42</v>
      </c>
      <c r="C394" t="s">
        <v>38</v>
      </c>
      <c r="D394" t="s">
        <v>34</v>
      </c>
      <c r="E394" t="s">
        <v>45</v>
      </c>
      <c r="F394">
        <v>10</v>
      </c>
      <c r="G394">
        <v>46291</v>
      </c>
      <c r="H394">
        <v>12</v>
      </c>
      <c r="I394" s="1">
        <v>46199</v>
      </c>
      <c r="J394" s="1">
        <v>46202</v>
      </c>
      <c r="K394" t="s">
        <v>20</v>
      </c>
    </row>
    <row r="395" spans="1:11" x14ac:dyDescent="0.3">
      <c r="A395">
        <v>1047</v>
      </c>
      <c r="B395" t="s">
        <v>58</v>
      </c>
      <c r="C395" t="s">
        <v>38</v>
      </c>
      <c r="D395" t="s">
        <v>18</v>
      </c>
      <c r="E395" t="s">
        <v>56</v>
      </c>
      <c r="F395">
        <v>11</v>
      </c>
      <c r="G395">
        <v>9976</v>
      </c>
      <c r="H395">
        <v>12</v>
      </c>
      <c r="I395" s="1">
        <v>46200</v>
      </c>
      <c r="J395" s="1">
        <v>46209</v>
      </c>
      <c r="K395" t="s">
        <v>15</v>
      </c>
    </row>
    <row r="396" spans="1:11" x14ac:dyDescent="0.3">
      <c r="A396">
        <v>1054</v>
      </c>
      <c r="B396" t="s">
        <v>26</v>
      </c>
      <c r="C396" t="s">
        <v>25</v>
      </c>
      <c r="D396" t="s">
        <v>18</v>
      </c>
      <c r="E396" t="s">
        <v>23</v>
      </c>
      <c r="F396">
        <v>8</v>
      </c>
      <c r="G396">
        <v>9798</v>
      </c>
      <c r="H396">
        <v>12</v>
      </c>
      <c r="I396" s="1">
        <v>46200</v>
      </c>
      <c r="J396" s="1">
        <v>46201</v>
      </c>
      <c r="K396" t="s">
        <v>51</v>
      </c>
    </row>
    <row r="397" spans="1:11" x14ac:dyDescent="0.3">
      <c r="A397">
        <v>1264</v>
      </c>
      <c r="B397" t="s">
        <v>11</v>
      </c>
      <c r="C397" t="s">
        <v>22</v>
      </c>
      <c r="D397" t="s">
        <v>18</v>
      </c>
      <c r="E397" t="s">
        <v>28</v>
      </c>
      <c r="F397">
        <v>15</v>
      </c>
      <c r="G397">
        <v>6365</v>
      </c>
      <c r="H397">
        <v>10</v>
      </c>
      <c r="I397" s="1">
        <v>46200</v>
      </c>
      <c r="J397" s="1">
        <v>46206</v>
      </c>
      <c r="K397" t="s">
        <v>20</v>
      </c>
    </row>
    <row r="398" spans="1:11" x14ac:dyDescent="0.3">
      <c r="A398">
        <v>1244</v>
      </c>
      <c r="B398" t="s">
        <v>57</v>
      </c>
      <c r="C398" t="s">
        <v>38</v>
      </c>
      <c r="D398" t="s">
        <v>18</v>
      </c>
      <c r="E398" t="s">
        <v>28</v>
      </c>
      <c r="F398">
        <v>10</v>
      </c>
      <c r="G398">
        <v>6339</v>
      </c>
      <c r="H398">
        <v>12</v>
      </c>
      <c r="I398" s="1">
        <v>46200</v>
      </c>
      <c r="J398" s="1">
        <v>46205</v>
      </c>
      <c r="K398" t="s">
        <v>15</v>
      </c>
    </row>
    <row r="399" spans="1:11" x14ac:dyDescent="0.3">
      <c r="A399">
        <v>1356</v>
      </c>
      <c r="B399" t="s">
        <v>26</v>
      </c>
      <c r="C399" t="s">
        <v>38</v>
      </c>
      <c r="D399" t="s">
        <v>34</v>
      </c>
      <c r="E399" t="s">
        <v>60</v>
      </c>
      <c r="F399">
        <v>16</v>
      </c>
      <c r="G399">
        <v>53457</v>
      </c>
      <c r="H399">
        <v>10</v>
      </c>
      <c r="I399" s="1">
        <v>46201</v>
      </c>
      <c r="J399" s="1">
        <v>46204</v>
      </c>
      <c r="K399" t="s">
        <v>15</v>
      </c>
    </row>
    <row r="400" spans="1:11" x14ac:dyDescent="0.3">
      <c r="A400">
        <v>1126</v>
      </c>
      <c r="B400" t="s">
        <v>46</v>
      </c>
      <c r="C400" t="s">
        <v>22</v>
      </c>
      <c r="D400" t="s">
        <v>34</v>
      </c>
      <c r="E400" t="s">
        <v>39</v>
      </c>
      <c r="F400">
        <v>17</v>
      </c>
      <c r="G400">
        <v>19390</v>
      </c>
      <c r="H400">
        <v>12</v>
      </c>
      <c r="I400" s="1">
        <v>46201</v>
      </c>
      <c r="J400" s="1">
        <v>46206</v>
      </c>
      <c r="K400" t="s">
        <v>29</v>
      </c>
    </row>
    <row r="401" spans="1:11" x14ac:dyDescent="0.3">
      <c r="A401">
        <v>1219</v>
      </c>
      <c r="B401" t="s">
        <v>46</v>
      </c>
      <c r="C401" t="s">
        <v>22</v>
      </c>
      <c r="D401" t="s">
        <v>13</v>
      </c>
      <c r="E401" t="s">
        <v>14</v>
      </c>
      <c r="F401">
        <v>4</v>
      </c>
      <c r="G401">
        <v>117</v>
      </c>
      <c r="H401">
        <v>15</v>
      </c>
      <c r="I401" s="1">
        <v>46202</v>
      </c>
      <c r="J401" s="1">
        <v>46206</v>
      </c>
      <c r="K401" t="s">
        <v>29</v>
      </c>
    </row>
  </sheetData>
  <sortState xmlns:xlrd2="http://schemas.microsoft.com/office/spreadsheetml/2017/richdata2" ref="A2:K401">
    <sortCondition ref="I2:I401"/>
    <sortCondition descending="1" ref="G2:G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BCB5-FF02-4EF2-8F0F-F6C0B6042AF2}">
  <sheetPr filterMode="1"/>
  <dimension ref="A1:X401"/>
  <sheetViews>
    <sheetView workbookViewId="0">
      <selection activeCell="L64" sqref="L64"/>
    </sheetView>
  </sheetViews>
  <sheetFormatPr defaultRowHeight="14.4" x14ac:dyDescent="0.3"/>
  <cols>
    <col min="1" max="12" width="11.77734375" customWidth="1"/>
    <col min="20" max="20" width="12.109375" customWidth="1"/>
    <col min="21" max="21" width="11.21875" customWidth="1"/>
    <col min="22" max="22" width="15.21875" customWidth="1"/>
    <col min="23" max="23" width="11.77734375" customWidth="1"/>
    <col min="24" max="24" width="17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4" hidden="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>
        <v>1001</v>
      </c>
      <c r="M2" t="s">
        <v>11</v>
      </c>
      <c r="N2">
        <v>1001</v>
      </c>
      <c r="O2" t="s">
        <v>11</v>
      </c>
      <c r="P2" t="s">
        <v>12</v>
      </c>
      <c r="Q2" t="s">
        <v>13</v>
      </c>
      <c r="R2" t="s">
        <v>14</v>
      </c>
      <c r="S2">
        <v>3</v>
      </c>
      <c r="T2" s="3">
        <v>222</v>
      </c>
      <c r="U2" s="3">
        <v>15</v>
      </c>
      <c r="V2" s="3">
        <v>46081</v>
      </c>
      <c r="W2" s="3">
        <v>46083</v>
      </c>
      <c r="X2" t="s">
        <v>15</v>
      </c>
    </row>
    <row r="3" spans="1:24" hidden="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>
        <v>1002</v>
      </c>
      <c r="M3" t="s">
        <v>16</v>
      </c>
      <c r="N3">
        <v>1002</v>
      </c>
      <c r="O3" t="s">
        <v>16</v>
      </c>
      <c r="P3" t="s">
        <v>17</v>
      </c>
      <c r="Q3" t="s">
        <v>18</v>
      </c>
      <c r="R3" t="s">
        <v>19</v>
      </c>
      <c r="S3">
        <v>7</v>
      </c>
      <c r="T3" s="3">
        <v>8448</v>
      </c>
      <c r="U3" s="3">
        <v>12</v>
      </c>
      <c r="V3" s="3">
        <v>46174</v>
      </c>
      <c r="W3" s="3">
        <v>46179</v>
      </c>
      <c r="X3" t="s">
        <v>20</v>
      </c>
    </row>
    <row r="4" spans="1:24" hidden="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>
        <v>1003</v>
      </c>
      <c r="M4" t="s">
        <v>21</v>
      </c>
      <c r="N4">
        <v>1003</v>
      </c>
      <c r="O4" t="s">
        <v>21</v>
      </c>
      <c r="P4" t="s">
        <v>22</v>
      </c>
      <c r="Q4" t="s">
        <v>18</v>
      </c>
      <c r="R4" t="s">
        <v>23</v>
      </c>
      <c r="S4">
        <v>20</v>
      </c>
      <c r="T4" s="3">
        <v>2123</v>
      </c>
      <c r="U4" s="3">
        <v>15</v>
      </c>
      <c r="V4" s="3">
        <v>46183</v>
      </c>
      <c r="W4" s="3">
        <v>46192</v>
      </c>
      <c r="X4" t="s">
        <v>24</v>
      </c>
    </row>
    <row r="5" spans="1:24" hidden="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>
        <v>1004</v>
      </c>
      <c r="M5" t="s">
        <v>16</v>
      </c>
      <c r="N5">
        <v>1004</v>
      </c>
      <c r="O5" t="s">
        <v>16</v>
      </c>
      <c r="P5" t="s">
        <v>25</v>
      </c>
      <c r="Q5" t="s">
        <v>18</v>
      </c>
      <c r="R5" t="s">
        <v>23</v>
      </c>
      <c r="S5">
        <v>16</v>
      </c>
      <c r="T5" s="3">
        <v>11739</v>
      </c>
      <c r="U5" s="3">
        <v>12</v>
      </c>
      <c r="V5" s="3">
        <v>46034</v>
      </c>
      <c r="W5" s="3">
        <v>46040</v>
      </c>
      <c r="X5" t="s">
        <v>20</v>
      </c>
    </row>
    <row r="6" spans="1:24" hidden="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>
        <v>1005</v>
      </c>
      <c r="M6" t="s">
        <v>26</v>
      </c>
      <c r="N6">
        <v>1005</v>
      </c>
      <c r="O6" t="s">
        <v>26</v>
      </c>
      <c r="P6" t="s">
        <v>17</v>
      </c>
      <c r="Q6" t="s">
        <v>13</v>
      </c>
      <c r="R6" t="s">
        <v>14</v>
      </c>
      <c r="S6">
        <v>18</v>
      </c>
      <c r="T6" s="3">
        <v>70</v>
      </c>
      <c r="U6" s="3">
        <v>0</v>
      </c>
      <c r="V6" s="3">
        <v>46171</v>
      </c>
      <c r="W6" s="3">
        <v>46179</v>
      </c>
      <c r="X6" t="s">
        <v>24</v>
      </c>
    </row>
    <row r="7" spans="1:24" hidden="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>
        <v>1006</v>
      </c>
      <c r="M7" t="s">
        <v>27</v>
      </c>
      <c r="N7">
        <v>1006</v>
      </c>
      <c r="O7" t="s">
        <v>27</v>
      </c>
      <c r="P7" t="s">
        <v>25</v>
      </c>
      <c r="Q7" t="s">
        <v>18</v>
      </c>
      <c r="R7" t="s">
        <v>28</v>
      </c>
      <c r="S7">
        <v>3</v>
      </c>
      <c r="T7" s="3">
        <v>2714</v>
      </c>
      <c r="U7" s="3">
        <v>5</v>
      </c>
      <c r="V7" s="3">
        <v>46055</v>
      </c>
      <c r="W7" s="3">
        <v>46062</v>
      </c>
      <c r="X7" t="s">
        <v>29</v>
      </c>
    </row>
    <row r="8" spans="1:24" hidden="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>
        <v>1007</v>
      </c>
      <c r="M8" t="s">
        <v>21</v>
      </c>
      <c r="N8">
        <v>1007</v>
      </c>
      <c r="O8" t="s">
        <v>21</v>
      </c>
      <c r="P8" t="s">
        <v>22</v>
      </c>
      <c r="Q8" t="s">
        <v>13</v>
      </c>
      <c r="R8" t="s">
        <v>14</v>
      </c>
      <c r="S8">
        <v>19</v>
      </c>
      <c r="T8" s="3">
        <v>149</v>
      </c>
      <c r="U8" s="3">
        <v>7</v>
      </c>
      <c r="V8" s="3">
        <v>46162</v>
      </c>
      <c r="W8" s="3">
        <v>46168</v>
      </c>
      <c r="X8" t="s">
        <v>24</v>
      </c>
    </row>
    <row r="9" spans="1:24" hidden="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>
        <v>1008</v>
      </c>
      <c r="M9" t="s">
        <v>30</v>
      </c>
      <c r="N9">
        <v>1008</v>
      </c>
      <c r="O9" t="s">
        <v>30</v>
      </c>
      <c r="P9" t="s">
        <v>31</v>
      </c>
      <c r="Q9" t="s">
        <v>18</v>
      </c>
      <c r="R9" t="s">
        <v>28</v>
      </c>
      <c r="S9">
        <v>1</v>
      </c>
      <c r="T9" s="3">
        <v>1134</v>
      </c>
      <c r="U9" s="3">
        <v>0</v>
      </c>
      <c r="V9" s="3">
        <v>46033</v>
      </c>
      <c r="W9" s="3">
        <v>46041</v>
      </c>
      <c r="X9" t="s">
        <v>24</v>
      </c>
    </row>
    <row r="10" spans="1:24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T10" s="3"/>
      <c r="U10" s="3"/>
      <c r="V10" s="3"/>
      <c r="W10" s="3"/>
    </row>
    <row r="11" spans="1:24" hidden="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>
        <v>1010</v>
      </c>
      <c r="M11" t="s">
        <v>11</v>
      </c>
      <c r="N11">
        <v>1010</v>
      </c>
      <c r="O11" t="s">
        <v>11</v>
      </c>
      <c r="P11" t="s">
        <v>17</v>
      </c>
      <c r="Q11" t="s">
        <v>13</v>
      </c>
      <c r="R11" t="s">
        <v>36</v>
      </c>
      <c r="S11">
        <v>14</v>
      </c>
      <c r="T11" s="3">
        <v>470</v>
      </c>
      <c r="U11" s="3">
        <v>5</v>
      </c>
      <c r="V11" s="3">
        <v>46062</v>
      </c>
      <c r="W11" s="3">
        <v>46068</v>
      </c>
      <c r="X11" t="s">
        <v>15</v>
      </c>
    </row>
    <row r="12" spans="1:24" hidden="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>
        <v>1011</v>
      </c>
      <c r="M12" t="s">
        <v>11</v>
      </c>
      <c r="N12">
        <v>1011</v>
      </c>
      <c r="O12" t="s">
        <v>11</v>
      </c>
      <c r="P12" t="s">
        <v>17</v>
      </c>
      <c r="Q12" t="s">
        <v>13</v>
      </c>
      <c r="R12" t="s">
        <v>37</v>
      </c>
      <c r="S12">
        <v>14</v>
      </c>
      <c r="T12" s="3">
        <v>88</v>
      </c>
      <c r="U12" s="3">
        <v>12</v>
      </c>
      <c r="V12" s="3">
        <v>46161</v>
      </c>
      <c r="W12" s="3">
        <v>46163</v>
      </c>
      <c r="X12" t="s">
        <v>15</v>
      </c>
    </row>
    <row r="13" spans="1:24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T13" s="3"/>
      <c r="U13" s="3"/>
      <c r="V13" s="3"/>
      <c r="W13" s="3"/>
    </row>
    <row r="14" spans="1:24" hidden="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>
        <v>1013</v>
      </c>
      <c r="M14" t="s">
        <v>16</v>
      </c>
      <c r="N14">
        <v>1013</v>
      </c>
      <c r="O14" t="s">
        <v>16</v>
      </c>
      <c r="P14" t="s">
        <v>31</v>
      </c>
      <c r="Q14" t="s">
        <v>13</v>
      </c>
      <c r="R14" t="s">
        <v>36</v>
      </c>
      <c r="S14">
        <v>17</v>
      </c>
      <c r="T14" s="3">
        <v>459</v>
      </c>
      <c r="U14" s="3">
        <v>12</v>
      </c>
      <c r="V14" s="3">
        <v>46095</v>
      </c>
      <c r="W14" s="3">
        <v>46105</v>
      </c>
      <c r="X14" t="s">
        <v>29</v>
      </c>
    </row>
    <row r="15" spans="1:24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T15" s="3"/>
      <c r="U15" s="3"/>
      <c r="V15" s="3"/>
      <c r="W15" s="3"/>
    </row>
    <row r="16" spans="1:24" hidden="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>
        <v>1015</v>
      </c>
      <c r="M16" t="s">
        <v>42</v>
      </c>
      <c r="N16">
        <v>1015</v>
      </c>
      <c r="O16" t="s">
        <v>42</v>
      </c>
      <c r="P16" t="s">
        <v>43</v>
      </c>
      <c r="Q16" t="s">
        <v>18</v>
      </c>
      <c r="R16" t="s">
        <v>44</v>
      </c>
      <c r="S16">
        <v>11</v>
      </c>
      <c r="T16" s="3">
        <v>14511</v>
      </c>
      <c r="U16" s="3">
        <v>2</v>
      </c>
      <c r="V16" s="3">
        <v>46175</v>
      </c>
      <c r="W16" s="3">
        <v>46185</v>
      </c>
      <c r="X16" t="s">
        <v>20</v>
      </c>
    </row>
    <row r="17" spans="1:24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T17" s="3"/>
      <c r="U17" s="3"/>
      <c r="V17" s="3"/>
      <c r="W17" s="3"/>
    </row>
    <row r="18" spans="1:24" hidden="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>
        <v>1017</v>
      </c>
      <c r="M18" t="s">
        <v>46</v>
      </c>
      <c r="N18">
        <v>1017</v>
      </c>
      <c r="O18" t="s">
        <v>46</v>
      </c>
      <c r="P18" t="s">
        <v>38</v>
      </c>
      <c r="Q18" t="s">
        <v>13</v>
      </c>
      <c r="R18" t="s">
        <v>36</v>
      </c>
      <c r="S18">
        <v>8</v>
      </c>
      <c r="T18" s="3">
        <v>179</v>
      </c>
      <c r="U18" s="3">
        <v>15</v>
      </c>
      <c r="V18" s="3">
        <v>46082</v>
      </c>
      <c r="W18" s="3">
        <v>46084</v>
      </c>
      <c r="X18" t="s">
        <v>15</v>
      </c>
    </row>
    <row r="19" spans="1:24" hidden="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>
        <v>1018</v>
      </c>
      <c r="M19" t="s">
        <v>47</v>
      </c>
      <c r="N19">
        <v>1018</v>
      </c>
      <c r="O19" t="s">
        <v>47</v>
      </c>
      <c r="P19" t="s">
        <v>25</v>
      </c>
      <c r="Q19" t="s">
        <v>13</v>
      </c>
      <c r="R19" t="s">
        <v>14</v>
      </c>
      <c r="S19">
        <v>20</v>
      </c>
      <c r="T19" s="3">
        <v>301</v>
      </c>
      <c r="U19" s="3">
        <v>0</v>
      </c>
      <c r="V19" s="3">
        <v>46089</v>
      </c>
      <c r="W19" s="3">
        <v>46094</v>
      </c>
      <c r="X19" t="s">
        <v>29</v>
      </c>
    </row>
    <row r="20" spans="1:24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T20" s="3"/>
      <c r="U20" s="3"/>
      <c r="V20" s="3"/>
      <c r="W20" s="3"/>
    </row>
    <row r="21" spans="1:24" hidden="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>
        <v>1020</v>
      </c>
      <c r="M21" t="s">
        <v>46</v>
      </c>
      <c r="N21">
        <v>1020</v>
      </c>
      <c r="O21" t="s">
        <v>46</v>
      </c>
      <c r="P21" t="s">
        <v>12</v>
      </c>
      <c r="Q21" t="s">
        <v>18</v>
      </c>
      <c r="R21" t="s">
        <v>19</v>
      </c>
      <c r="S21">
        <v>5</v>
      </c>
      <c r="T21" s="3">
        <v>4582</v>
      </c>
      <c r="U21" s="3">
        <v>5</v>
      </c>
      <c r="V21" s="3">
        <v>46078</v>
      </c>
      <c r="W21" s="3">
        <v>46083</v>
      </c>
      <c r="X21" t="s">
        <v>15</v>
      </c>
    </row>
    <row r="22" spans="1:24" hidden="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>
        <v>1021</v>
      </c>
      <c r="M22" t="s">
        <v>48</v>
      </c>
      <c r="N22">
        <v>1021</v>
      </c>
      <c r="O22" t="s">
        <v>48</v>
      </c>
      <c r="P22" t="s">
        <v>43</v>
      </c>
      <c r="Q22" t="s">
        <v>13</v>
      </c>
      <c r="R22" t="s">
        <v>14</v>
      </c>
      <c r="S22">
        <v>3</v>
      </c>
      <c r="T22" s="3">
        <v>484</v>
      </c>
      <c r="U22" s="3">
        <v>2</v>
      </c>
      <c r="V22" s="3">
        <v>46144</v>
      </c>
      <c r="W22" s="3">
        <v>46148</v>
      </c>
      <c r="X22" t="s">
        <v>24</v>
      </c>
    </row>
    <row r="23" spans="1:24" hidden="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T23" s="3"/>
      <c r="U23" s="3"/>
      <c r="V23" s="3"/>
      <c r="W23" s="3"/>
    </row>
    <row r="24" spans="1:24" hidden="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>
        <v>1023</v>
      </c>
      <c r="M24" t="s">
        <v>40</v>
      </c>
      <c r="N24">
        <v>1023</v>
      </c>
      <c r="O24" t="s">
        <v>40</v>
      </c>
      <c r="P24" t="s">
        <v>12</v>
      </c>
      <c r="Q24" t="s">
        <v>18</v>
      </c>
      <c r="R24" t="s">
        <v>44</v>
      </c>
      <c r="S24">
        <v>15</v>
      </c>
      <c r="T24" s="3">
        <v>3506</v>
      </c>
      <c r="U24" s="3">
        <v>2</v>
      </c>
      <c r="V24" s="3">
        <v>46193</v>
      </c>
      <c r="W24" s="3">
        <v>46194</v>
      </c>
      <c r="X24" t="s">
        <v>29</v>
      </c>
    </row>
    <row r="25" spans="1:24" hidden="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T25" s="3"/>
      <c r="U25" s="3"/>
      <c r="V25" s="3"/>
      <c r="W25" s="3"/>
    </row>
    <row r="26" spans="1:24" hidden="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>
        <v>1025</v>
      </c>
      <c r="M26" t="s">
        <v>21</v>
      </c>
      <c r="N26">
        <v>1025</v>
      </c>
      <c r="O26" t="s">
        <v>21</v>
      </c>
      <c r="P26" t="s">
        <v>12</v>
      </c>
      <c r="Q26" t="s">
        <v>18</v>
      </c>
      <c r="R26" t="s">
        <v>19</v>
      </c>
      <c r="S26">
        <v>18</v>
      </c>
      <c r="T26" s="3">
        <v>7924</v>
      </c>
      <c r="U26" s="3">
        <v>0</v>
      </c>
      <c r="V26" s="3">
        <v>46175</v>
      </c>
      <c r="W26" s="3">
        <v>46181</v>
      </c>
      <c r="X26" t="s">
        <v>15</v>
      </c>
    </row>
    <row r="27" spans="1:24" hidden="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>
        <v>1026</v>
      </c>
      <c r="M27" t="s">
        <v>49</v>
      </c>
      <c r="N27">
        <v>1026</v>
      </c>
      <c r="O27" t="s">
        <v>49</v>
      </c>
      <c r="P27" t="s">
        <v>31</v>
      </c>
      <c r="Q27" t="s">
        <v>13</v>
      </c>
      <c r="R27" t="s">
        <v>50</v>
      </c>
      <c r="S27">
        <v>17</v>
      </c>
      <c r="T27" s="3">
        <v>323</v>
      </c>
      <c r="U27" s="3">
        <v>10</v>
      </c>
      <c r="V27" s="3">
        <v>46039</v>
      </c>
      <c r="W27" s="3">
        <v>46040</v>
      </c>
      <c r="X27" t="s">
        <v>29</v>
      </c>
    </row>
    <row r="28" spans="1:24" hidden="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>
        <v>1027</v>
      </c>
      <c r="M28" t="s">
        <v>29</v>
      </c>
      <c r="N28">
        <v>1027</v>
      </c>
      <c r="O28" t="s">
        <v>29</v>
      </c>
      <c r="P28" t="s">
        <v>43</v>
      </c>
      <c r="Q28" t="s">
        <v>13</v>
      </c>
      <c r="R28" t="s">
        <v>50</v>
      </c>
      <c r="S28">
        <v>4</v>
      </c>
      <c r="T28" s="3">
        <v>264</v>
      </c>
      <c r="U28" s="3">
        <v>0</v>
      </c>
      <c r="V28" s="3">
        <v>46155</v>
      </c>
      <c r="W28" s="3">
        <v>46161</v>
      </c>
      <c r="X28" t="s">
        <v>51</v>
      </c>
    </row>
    <row r="29" spans="1:24" hidden="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>
        <v>1028</v>
      </c>
      <c r="M29" t="s">
        <v>47</v>
      </c>
      <c r="N29">
        <v>1028</v>
      </c>
      <c r="O29" t="s">
        <v>47</v>
      </c>
      <c r="P29" t="s">
        <v>22</v>
      </c>
      <c r="Q29" t="s">
        <v>13</v>
      </c>
      <c r="R29" t="s">
        <v>36</v>
      </c>
      <c r="S29">
        <v>13</v>
      </c>
      <c r="T29" s="3">
        <v>433</v>
      </c>
      <c r="U29" s="3">
        <v>2</v>
      </c>
      <c r="V29" s="3">
        <v>46116</v>
      </c>
      <c r="W29" s="3">
        <v>46121</v>
      </c>
      <c r="X29" t="s">
        <v>24</v>
      </c>
    </row>
    <row r="30" spans="1:24" hidden="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>
        <v>1029</v>
      </c>
      <c r="M30" t="s">
        <v>30</v>
      </c>
      <c r="N30">
        <v>1029</v>
      </c>
      <c r="O30" t="s">
        <v>30</v>
      </c>
      <c r="P30" t="s">
        <v>25</v>
      </c>
      <c r="Q30" t="s">
        <v>13</v>
      </c>
      <c r="R30" t="s">
        <v>36</v>
      </c>
      <c r="S30">
        <v>18</v>
      </c>
      <c r="T30" s="3">
        <v>443</v>
      </c>
      <c r="U30" s="3">
        <v>5</v>
      </c>
      <c r="V30" s="3">
        <v>46046</v>
      </c>
      <c r="W30" s="3">
        <v>46054</v>
      </c>
      <c r="X30" t="s">
        <v>24</v>
      </c>
    </row>
    <row r="31" spans="1:24" hidden="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>
        <v>1030</v>
      </c>
      <c r="M31" t="s">
        <v>52</v>
      </c>
      <c r="N31">
        <v>1030</v>
      </c>
      <c r="O31" t="s">
        <v>52</v>
      </c>
      <c r="P31" t="s">
        <v>12</v>
      </c>
      <c r="Q31" t="s">
        <v>13</v>
      </c>
      <c r="R31" t="s">
        <v>53</v>
      </c>
      <c r="S31">
        <v>13</v>
      </c>
      <c r="T31" s="3">
        <v>336</v>
      </c>
      <c r="U31" s="3">
        <v>10</v>
      </c>
      <c r="V31" s="3">
        <v>46098</v>
      </c>
      <c r="W31" s="3">
        <v>46108</v>
      </c>
      <c r="X31" t="s">
        <v>15</v>
      </c>
    </row>
    <row r="32" spans="1:24" hidden="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>
        <v>1031</v>
      </c>
      <c r="M32" t="s">
        <v>54</v>
      </c>
      <c r="N32">
        <v>1031</v>
      </c>
      <c r="O32" t="s">
        <v>54</v>
      </c>
      <c r="P32" t="s">
        <v>31</v>
      </c>
      <c r="Q32" t="s">
        <v>13</v>
      </c>
      <c r="R32" t="s">
        <v>53</v>
      </c>
      <c r="S32">
        <v>2</v>
      </c>
      <c r="T32" s="3">
        <v>184</v>
      </c>
      <c r="U32" s="3">
        <v>5</v>
      </c>
      <c r="V32" s="3">
        <v>46089</v>
      </c>
      <c r="W32" s="3">
        <v>46093</v>
      </c>
      <c r="X32" t="s">
        <v>20</v>
      </c>
    </row>
    <row r="33" spans="1:24" hidden="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T33" s="3"/>
      <c r="U33" s="3"/>
      <c r="V33" s="3"/>
      <c r="W33" s="3"/>
    </row>
    <row r="34" spans="1:24" hidden="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>
        <v>1033</v>
      </c>
      <c r="M34" t="s">
        <v>11</v>
      </c>
      <c r="N34">
        <v>1033</v>
      </c>
      <c r="O34" t="s">
        <v>11</v>
      </c>
      <c r="P34" t="s">
        <v>43</v>
      </c>
      <c r="Q34" t="s">
        <v>18</v>
      </c>
      <c r="R34" t="s">
        <v>19</v>
      </c>
      <c r="S34">
        <v>9</v>
      </c>
      <c r="T34" s="3">
        <v>4895</v>
      </c>
      <c r="U34" s="3">
        <v>2</v>
      </c>
      <c r="V34" s="3">
        <v>46082</v>
      </c>
      <c r="W34" s="3">
        <v>46084</v>
      </c>
      <c r="X34" t="s">
        <v>29</v>
      </c>
    </row>
    <row r="35" spans="1:24" hidden="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>
        <v>1034</v>
      </c>
      <c r="M35" t="s">
        <v>55</v>
      </c>
      <c r="N35">
        <v>1034</v>
      </c>
      <c r="O35" t="s">
        <v>55</v>
      </c>
      <c r="P35" t="s">
        <v>33</v>
      </c>
      <c r="Q35" t="s">
        <v>18</v>
      </c>
      <c r="R35" t="s">
        <v>28</v>
      </c>
      <c r="S35">
        <v>17</v>
      </c>
      <c r="T35" s="3">
        <v>5104</v>
      </c>
      <c r="U35" s="3">
        <v>12</v>
      </c>
      <c r="V35" s="3">
        <v>46052</v>
      </c>
      <c r="W35" s="3">
        <v>46061</v>
      </c>
      <c r="X35" t="s">
        <v>51</v>
      </c>
    </row>
    <row r="36" spans="1:24" hidden="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>
        <v>1035</v>
      </c>
      <c r="M36" t="s">
        <v>49</v>
      </c>
      <c r="N36">
        <v>1035</v>
      </c>
      <c r="O36" t="s">
        <v>49</v>
      </c>
      <c r="P36" t="s">
        <v>43</v>
      </c>
      <c r="Q36" t="s">
        <v>18</v>
      </c>
      <c r="R36" t="s">
        <v>56</v>
      </c>
      <c r="S36">
        <v>3</v>
      </c>
      <c r="T36" s="3">
        <v>9149</v>
      </c>
      <c r="U36" s="3">
        <v>0</v>
      </c>
      <c r="V36" s="3">
        <v>46031</v>
      </c>
      <c r="W36" s="3">
        <v>46034</v>
      </c>
      <c r="X36" t="s">
        <v>24</v>
      </c>
    </row>
    <row r="37" spans="1:24" hidden="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>
        <v>1036</v>
      </c>
      <c r="M37" t="s">
        <v>11</v>
      </c>
      <c r="N37">
        <v>1036</v>
      </c>
      <c r="O37" t="s">
        <v>11</v>
      </c>
      <c r="P37" t="s">
        <v>25</v>
      </c>
      <c r="Q37" t="s">
        <v>13</v>
      </c>
      <c r="R37" t="s">
        <v>36</v>
      </c>
      <c r="S37">
        <v>20</v>
      </c>
      <c r="T37" s="3">
        <v>161</v>
      </c>
      <c r="U37" s="3">
        <v>7</v>
      </c>
      <c r="V37" s="3">
        <v>46071</v>
      </c>
      <c r="W37" s="3">
        <v>46077</v>
      </c>
      <c r="X37" t="s">
        <v>24</v>
      </c>
    </row>
    <row r="38" spans="1:24" hidden="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>
        <v>1037</v>
      </c>
      <c r="M38" t="s">
        <v>46</v>
      </c>
      <c r="N38">
        <v>1037</v>
      </c>
      <c r="O38" t="s">
        <v>46</v>
      </c>
      <c r="P38" t="s">
        <v>43</v>
      </c>
      <c r="Q38" t="s">
        <v>18</v>
      </c>
      <c r="R38" t="s">
        <v>56</v>
      </c>
      <c r="S38">
        <v>6</v>
      </c>
      <c r="T38" s="3">
        <v>14385</v>
      </c>
      <c r="U38" s="3">
        <v>12</v>
      </c>
      <c r="V38" s="3">
        <v>46033</v>
      </c>
      <c r="W38" s="3">
        <v>46043</v>
      </c>
      <c r="X38" t="s">
        <v>24</v>
      </c>
    </row>
    <row r="39" spans="1:24" hidden="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>
        <v>1038</v>
      </c>
      <c r="M39" t="s">
        <v>55</v>
      </c>
      <c r="N39">
        <v>1038</v>
      </c>
      <c r="O39" t="s">
        <v>55</v>
      </c>
      <c r="P39" t="s">
        <v>17</v>
      </c>
      <c r="Q39" t="s">
        <v>13</v>
      </c>
      <c r="R39" t="s">
        <v>36</v>
      </c>
      <c r="S39">
        <v>17</v>
      </c>
      <c r="T39" s="3">
        <v>223</v>
      </c>
      <c r="U39" s="3">
        <v>7</v>
      </c>
      <c r="V39" s="3">
        <v>46030</v>
      </c>
      <c r="W39" s="3">
        <v>46031</v>
      </c>
      <c r="X39" t="s">
        <v>51</v>
      </c>
    </row>
    <row r="40" spans="1:24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T40" s="3"/>
      <c r="U40" s="3"/>
      <c r="V40" s="3"/>
      <c r="W40" s="3"/>
    </row>
    <row r="41" spans="1:24" hidden="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>
        <v>1040</v>
      </c>
      <c r="M41" t="s">
        <v>49</v>
      </c>
      <c r="N41">
        <v>1040</v>
      </c>
      <c r="O41" t="s">
        <v>49</v>
      </c>
      <c r="P41" t="s">
        <v>38</v>
      </c>
      <c r="Q41" t="s">
        <v>18</v>
      </c>
      <c r="R41" t="s">
        <v>28</v>
      </c>
      <c r="S41">
        <v>10</v>
      </c>
      <c r="T41" s="3">
        <v>7531</v>
      </c>
      <c r="U41" s="3">
        <v>2</v>
      </c>
      <c r="V41" s="3">
        <v>46171</v>
      </c>
      <c r="W41" s="3">
        <v>46178</v>
      </c>
      <c r="X41" t="s">
        <v>24</v>
      </c>
    </row>
    <row r="42" spans="1:24" hidden="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>
        <v>1041</v>
      </c>
      <c r="M42" t="s">
        <v>54</v>
      </c>
      <c r="N42">
        <v>1041</v>
      </c>
      <c r="O42" t="s">
        <v>54</v>
      </c>
      <c r="P42" t="s">
        <v>38</v>
      </c>
      <c r="Q42" t="s">
        <v>13</v>
      </c>
      <c r="R42" t="s">
        <v>50</v>
      </c>
      <c r="S42">
        <v>9</v>
      </c>
      <c r="T42" s="3">
        <v>71</v>
      </c>
      <c r="U42" s="3">
        <v>7</v>
      </c>
      <c r="V42" s="3">
        <v>46185</v>
      </c>
      <c r="W42" s="3">
        <v>46188</v>
      </c>
      <c r="X42" t="s">
        <v>15</v>
      </c>
    </row>
    <row r="43" spans="1:24" hidden="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>
        <v>1042</v>
      </c>
      <c r="M43" t="s">
        <v>46</v>
      </c>
      <c r="N43">
        <v>1042</v>
      </c>
      <c r="O43" t="s">
        <v>46</v>
      </c>
      <c r="P43" t="s">
        <v>33</v>
      </c>
      <c r="Q43" t="s">
        <v>13</v>
      </c>
      <c r="R43" t="s">
        <v>53</v>
      </c>
      <c r="S43">
        <v>16</v>
      </c>
      <c r="T43" s="3">
        <v>232</v>
      </c>
      <c r="U43" s="3">
        <v>0</v>
      </c>
      <c r="V43" s="3">
        <v>46081</v>
      </c>
      <c r="W43" s="3">
        <v>46088</v>
      </c>
      <c r="X43" t="s">
        <v>29</v>
      </c>
    </row>
    <row r="44" spans="1:24" hidden="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T44" s="3"/>
      <c r="U44" s="3"/>
      <c r="V44" s="3"/>
      <c r="W44" s="3"/>
    </row>
    <row r="45" spans="1:24" hidden="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>
        <v>1044</v>
      </c>
      <c r="M45" t="s">
        <v>48</v>
      </c>
      <c r="N45">
        <v>1044</v>
      </c>
      <c r="O45" t="s">
        <v>48</v>
      </c>
      <c r="P45" t="s">
        <v>38</v>
      </c>
      <c r="Q45" t="s">
        <v>18</v>
      </c>
      <c r="R45" t="s">
        <v>19</v>
      </c>
      <c r="S45">
        <v>4</v>
      </c>
      <c r="T45" s="3">
        <v>14731</v>
      </c>
      <c r="U45" s="3">
        <v>2</v>
      </c>
      <c r="V45" s="3">
        <v>46173</v>
      </c>
      <c r="W45" s="3">
        <v>46176</v>
      </c>
      <c r="X45" t="s">
        <v>20</v>
      </c>
    </row>
    <row r="46" spans="1:24" hidden="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T46" s="3"/>
      <c r="U46" s="3"/>
      <c r="V46" s="3"/>
      <c r="W46" s="3"/>
    </row>
    <row r="47" spans="1:24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T47" s="3"/>
      <c r="U47" s="3"/>
      <c r="V47" s="3"/>
      <c r="W47" s="3"/>
    </row>
    <row r="48" spans="1:24" hidden="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>
        <v>1047</v>
      </c>
      <c r="M48" t="s">
        <v>58</v>
      </c>
      <c r="N48">
        <v>1047</v>
      </c>
      <c r="O48" t="s">
        <v>58</v>
      </c>
      <c r="P48" t="s">
        <v>38</v>
      </c>
      <c r="Q48" t="s">
        <v>18</v>
      </c>
      <c r="R48" t="s">
        <v>56</v>
      </c>
      <c r="S48">
        <v>11</v>
      </c>
      <c r="T48" s="3">
        <v>9976</v>
      </c>
      <c r="U48" s="3">
        <v>12</v>
      </c>
      <c r="V48" s="3">
        <v>46200</v>
      </c>
      <c r="W48" s="3">
        <v>46209</v>
      </c>
      <c r="X48" t="s">
        <v>15</v>
      </c>
    </row>
    <row r="49" spans="1:24" hidden="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T49" s="3"/>
      <c r="U49" s="3"/>
      <c r="V49" s="3"/>
      <c r="W49" s="3"/>
    </row>
    <row r="50" spans="1:24" hidden="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T50" s="3"/>
      <c r="U50" s="3"/>
      <c r="V50" s="3"/>
      <c r="W50" s="3"/>
    </row>
    <row r="51" spans="1:24" hidden="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>
        <v>1050</v>
      </c>
      <c r="M51" t="s">
        <v>32</v>
      </c>
      <c r="N51">
        <v>1050</v>
      </c>
      <c r="O51" t="s">
        <v>32</v>
      </c>
      <c r="P51" t="s">
        <v>25</v>
      </c>
      <c r="Q51" t="s">
        <v>13</v>
      </c>
      <c r="R51" t="s">
        <v>53</v>
      </c>
      <c r="S51">
        <v>12</v>
      </c>
      <c r="T51" s="3">
        <v>360</v>
      </c>
      <c r="U51" s="3">
        <v>5</v>
      </c>
      <c r="V51" s="3">
        <v>46127</v>
      </c>
      <c r="W51" s="3">
        <v>46137</v>
      </c>
      <c r="X51" t="s">
        <v>29</v>
      </c>
    </row>
    <row r="52" spans="1:24" hidden="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>
        <v>1051</v>
      </c>
      <c r="M52" t="s">
        <v>58</v>
      </c>
      <c r="N52">
        <v>1051</v>
      </c>
      <c r="O52" t="s">
        <v>58</v>
      </c>
      <c r="P52" t="s">
        <v>17</v>
      </c>
      <c r="Q52" t="s">
        <v>13</v>
      </c>
      <c r="R52" t="s">
        <v>36</v>
      </c>
      <c r="S52">
        <v>12</v>
      </c>
      <c r="T52" s="3">
        <v>47</v>
      </c>
      <c r="U52" s="3">
        <v>2</v>
      </c>
      <c r="V52" s="3">
        <v>46037</v>
      </c>
      <c r="W52" s="3">
        <v>46045</v>
      </c>
      <c r="X52" t="s">
        <v>15</v>
      </c>
    </row>
    <row r="53" spans="1:24" hidden="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>
        <v>1052</v>
      </c>
      <c r="M53" t="s">
        <v>55</v>
      </c>
      <c r="N53">
        <v>1052</v>
      </c>
      <c r="O53" t="s">
        <v>55</v>
      </c>
      <c r="P53" t="s">
        <v>12</v>
      </c>
      <c r="Q53" t="s">
        <v>13</v>
      </c>
      <c r="R53" t="s">
        <v>14</v>
      </c>
      <c r="S53">
        <v>17</v>
      </c>
      <c r="T53" s="3">
        <v>172</v>
      </c>
      <c r="U53" s="3">
        <v>10</v>
      </c>
      <c r="V53" s="3">
        <v>46159</v>
      </c>
      <c r="W53" s="3">
        <v>46165</v>
      </c>
      <c r="X53" t="s">
        <v>20</v>
      </c>
    </row>
    <row r="54" spans="1:24" hidden="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>
        <v>1053</v>
      </c>
      <c r="M54" t="s">
        <v>16</v>
      </c>
      <c r="N54">
        <v>1053</v>
      </c>
      <c r="O54" t="s">
        <v>16</v>
      </c>
      <c r="P54" t="s">
        <v>33</v>
      </c>
      <c r="Q54" t="s">
        <v>18</v>
      </c>
      <c r="R54" t="s">
        <v>28</v>
      </c>
      <c r="S54">
        <v>1</v>
      </c>
      <c r="T54" s="3">
        <v>9749</v>
      </c>
      <c r="U54" s="3">
        <v>15</v>
      </c>
      <c r="V54" s="3">
        <v>46064</v>
      </c>
      <c r="W54" s="3">
        <v>46070</v>
      </c>
      <c r="X54" t="s">
        <v>24</v>
      </c>
    </row>
    <row r="55" spans="1:24" hidden="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>
        <v>1054</v>
      </c>
      <c r="M55" t="s">
        <v>26</v>
      </c>
      <c r="N55">
        <v>1054</v>
      </c>
      <c r="O55" t="s">
        <v>26</v>
      </c>
      <c r="P55" t="s">
        <v>25</v>
      </c>
      <c r="Q55" t="s">
        <v>18</v>
      </c>
      <c r="R55" t="s">
        <v>23</v>
      </c>
      <c r="S55">
        <v>8</v>
      </c>
      <c r="T55" s="3">
        <v>9798</v>
      </c>
      <c r="U55" s="3">
        <v>12</v>
      </c>
      <c r="V55" s="3">
        <v>46200</v>
      </c>
      <c r="W55" s="3">
        <v>46201</v>
      </c>
      <c r="X55" t="s">
        <v>51</v>
      </c>
    </row>
    <row r="56" spans="1:24" hidden="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>
        <v>1055</v>
      </c>
      <c r="M56" t="s">
        <v>48</v>
      </c>
      <c r="N56">
        <v>1055</v>
      </c>
      <c r="O56" t="s">
        <v>48</v>
      </c>
      <c r="P56" t="s">
        <v>12</v>
      </c>
      <c r="Q56" t="s">
        <v>13</v>
      </c>
      <c r="R56" t="s">
        <v>37</v>
      </c>
      <c r="S56">
        <v>18</v>
      </c>
      <c r="T56" s="3">
        <v>185</v>
      </c>
      <c r="U56" s="3">
        <v>15</v>
      </c>
      <c r="V56" s="3">
        <v>46077</v>
      </c>
      <c r="W56" s="3">
        <v>46078</v>
      </c>
      <c r="X56" t="s">
        <v>15</v>
      </c>
    </row>
    <row r="57" spans="1:24" hidden="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>
        <v>1056</v>
      </c>
      <c r="M57" t="s">
        <v>11</v>
      </c>
      <c r="N57">
        <v>1056</v>
      </c>
      <c r="O57" t="s">
        <v>11</v>
      </c>
      <c r="P57" t="s">
        <v>22</v>
      </c>
      <c r="Q57" t="s">
        <v>18</v>
      </c>
      <c r="R57" t="s">
        <v>19</v>
      </c>
      <c r="S57">
        <v>3</v>
      </c>
      <c r="T57" s="3">
        <v>9771</v>
      </c>
      <c r="U57" s="3">
        <v>5</v>
      </c>
      <c r="V57" s="3">
        <v>46133</v>
      </c>
      <c r="W57" s="3">
        <v>46139</v>
      </c>
      <c r="X57" t="s">
        <v>24</v>
      </c>
    </row>
    <row r="58" spans="1:24" hidden="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>
        <v>1057</v>
      </c>
      <c r="M58" t="s">
        <v>59</v>
      </c>
      <c r="N58">
        <v>1057</v>
      </c>
      <c r="O58" t="s">
        <v>59</v>
      </c>
      <c r="P58" t="s">
        <v>22</v>
      </c>
      <c r="Q58" t="s">
        <v>18</v>
      </c>
      <c r="R58" t="s">
        <v>28</v>
      </c>
      <c r="S58">
        <v>2</v>
      </c>
      <c r="T58" s="3">
        <v>9531</v>
      </c>
      <c r="U58" s="3">
        <v>15</v>
      </c>
      <c r="V58" s="3">
        <v>46067</v>
      </c>
      <c r="W58" s="3">
        <v>46076</v>
      </c>
      <c r="X58" t="s">
        <v>51</v>
      </c>
    </row>
    <row r="59" spans="1:24" hidden="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>
        <v>1058</v>
      </c>
      <c r="M59" t="s">
        <v>52</v>
      </c>
      <c r="N59">
        <v>1058</v>
      </c>
      <c r="O59" t="s">
        <v>52</v>
      </c>
      <c r="P59" t="s">
        <v>38</v>
      </c>
      <c r="Q59" t="s">
        <v>18</v>
      </c>
      <c r="R59" t="s">
        <v>28</v>
      </c>
      <c r="S59">
        <v>10</v>
      </c>
      <c r="T59" s="3">
        <v>5532</v>
      </c>
      <c r="U59" s="3">
        <v>7</v>
      </c>
      <c r="V59" s="3">
        <v>46074</v>
      </c>
      <c r="W59" s="3">
        <v>46084</v>
      </c>
      <c r="X59" t="s">
        <v>24</v>
      </c>
    </row>
    <row r="60" spans="1:24" hidden="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>
        <v>1059</v>
      </c>
      <c r="M60" t="s">
        <v>54</v>
      </c>
      <c r="N60">
        <v>1059</v>
      </c>
      <c r="O60" t="s">
        <v>54</v>
      </c>
      <c r="P60" t="s">
        <v>25</v>
      </c>
      <c r="Q60" t="s">
        <v>13</v>
      </c>
      <c r="R60" t="s">
        <v>50</v>
      </c>
      <c r="S60">
        <v>20</v>
      </c>
      <c r="T60" s="3">
        <v>112</v>
      </c>
      <c r="U60" s="3">
        <v>10</v>
      </c>
      <c r="V60" s="3">
        <v>46113</v>
      </c>
      <c r="W60" s="3">
        <v>46122</v>
      </c>
      <c r="X60" t="s">
        <v>51</v>
      </c>
    </row>
    <row r="61" spans="1:24" hidden="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>
        <v>1060</v>
      </c>
      <c r="M61" t="s">
        <v>49</v>
      </c>
      <c r="N61">
        <v>1060</v>
      </c>
      <c r="O61" t="s">
        <v>49</v>
      </c>
      <c r="P61" t="s">
        <v>12</v>
      </c>
      <c r="Q61" t="s">
        <v>18</v>
      </c>
      <c r="R61" t="s">
        <v>44</v>
      </c>
      <c r="S61">
        <v>9</v>
      </c>
      <c r="T61" s="3">
        <v>9727</v>
      </c>
      <c r="U61" s="3">
        <v>2</v>
      </c>
      <c r="V61" s="3">
        <v>46024</v>
      </c>
      <c r="W61" s="3">
        <v>46030</v>
      </c>
      <c r="X61" t="s">
        <v>20</v>
      </c>
    </row>
    <row r="62" spans="1:24" hidden="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T62" s="3"/>
      <c r="U62" s="3"/>
      <c r="V62" s="3"/>
      <c r="W62" s="3"/>
    </row>
    <row r="63" spans="1:24" hidden="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>
        <v>1062</v>
      </c>
      <c r="M63" t="s">
        <v>40</v>
      </c>
      <c r="N63">
        <v>1062</v>
      </c>
      <c r="O63" t="s">
        <v>40</v>
      </c>
      <c r="P63" t="s">
        <v>43</v>
      </c>
      <c r="Q63" t="s">
        <v>18</v>
      </c>
      <c r="R63" t="s">
        <v>23</v>
      </c>
      <c r="S63">
        <v>8</v>
      </c>
      <c r="T63" s="3">
        <v>8360</v>
      </c>
      <c r="U63" s="3">
        <v>2</v>
      </c>
      <c r="V63" s="3">
        <v>46190</v>
      </c>
      <c r="W63" s="3">
        <v>46200</v>
      </c>
      <c r="X63" t="s">
        <v>51</v>
      </c>
    </row>
    <row r="64" spans="1:24" hidden="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T64" s="3"/>
      <c r="U64" s="3"/>
      <c r="V64" s="3"/>
      <c r="W64" s="3"/>
    </row>
    <row r="65" spans="1:24" hidden="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>
        <v>1064</v>
      </c>
      <c r="M65" t="s">
        <v>26</v>
      </c>
      <c r="N65">
        <v>1064</v>
      </c>
      <c r="O65" t="s">
        <v>26</v>
      </c>
      <c r="P65" t="s">
        <v>17</v>
      </c>
      <c r="Q65" t="s">
        <v>13</v>
      </c>
      <c r="R65" t="s">
        <v>50</v>
      </c>
      <c r="S65">
        <v>20</v>
      </c>
      <c r="T65" s="3">
        <v>191</v>
      </c>
      <c r="U65" s="3">
        <v>7</v>
      </c>
      <c r="V65" s="3">
        <v>46185</v>
      </c>
      <c r="W65" s="3">
        <v>46195</v>
      </c>
      <c r="X65" t="s">
        <v>29</v>
      </c>
    </row>
    <row r="66" spans="1:24" hidden="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>
        <v>1065</v>
      </c>
      <c r="M66" t="s">
        <v>42</v>
      </c>
      <c r="N66">
        <v>1065</v>
      </c>
      <c r="O66" t="s">
        <v>42</v>
      </c>
      <c r="P66" t="s">
        <v>43</v>
      </c>
      <c r="Q66" t="s">
        <v>18</v>
      </c>
      <c r="R66" t="s">
        <v>44</v>
      </c>
      <c r="S66">
        <v>1</v>
      </c>
      <c r="T66" s="3">
        <v>7730</v>
      </c>
      <c r="U66" s="3">
        <v>5</v>
      </c>
      <c r="V66" s="3">
        <v>46192</v>
      </c>
      <c r="W66" s="3">
        <v>46195</v>
      </c>
      <c r="X66" t="s">
        <v>51</v>
      </c>
    </row>
    <row r="67" spans="1:24" hidden="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>
        <v>1066</v>
      </c>
      <c r="M67" t="s">
        <v>47</v>
      </c>
      <c r="N67">
        <v>1066</v>
      </c>
      <c r="O67" t="s">
        <v>47</v>
      </c>
      <c r="P67" t="s">
        <v>25</v>
      </c>
      <c r="Q67" t="s">
        <v>18</v>
      </c>
      <c r="R67" t="s">
        <v>44</v>
      </c>
      <c r="S67">
        <v>15</v>
      </c>
      <c r="T67" s="3">
        <v>11987</v>
      </c>
      <c r="U67" s="3">
        <v>5</v>
      </c>
      <c r="V67" s="3">
        <v>46082</v>
      </c>
      <c r="W67" s="3">
        <v>46083</v>
      </c>
      <c r="X67" t="s">
        <v>15</v>
      </c>
    </row>
    <row r="68" spans="1:24" hidden="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>
        <v>1067</v>
      </c>
      <c r="M68" t="s">
        <v>32</v>
      </c>
      <c r="N68">
        <v>1067</v>
      </c>
      <c r="O68" t="s">
        <v>32</v>
      </c>
      <c r="P68" t="s">
        <v>43</v>
      </c>
      <c r="Q68" t="s">
        <v>18</v>
      </c>
      <c r="R68" t="s">
        <v>56</v>
      </c>
      <c r="S68">
        <v>14</v>
      </c>
      <c r="T68" s="3">
        <v>10869</v>
      </c>
      <c r="U68" s="3">
        <v>0</v>
      </c>
      <c r="V68" s="3">
        <v>46058</v>
      </c>
      <c r="W68" s="3">
        <v>46062</v>
      </c>
      <c r="X68" t="s">
        <v>29</v>
      </c>
    </row>
    <row r="69" spans="1:24" hidden="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T69" s="3"/>
      <c r="U69" s="3"/>
      <c r="V69" s="3"/>
      <c r="W69" s="3"/>
    </row>
    <row r="70" spans="1:24" hidden="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>
        <v>1069</v>
      </c>
      <c r="M70" t="s">
        <v>52</v>
      </c>
      <c r="N70">
        <v>1069</v>
      </c>
      <c r="O70" t="s">
        <v>52</v>
      </c>
      <c r="P70" t="s">
        <v>31</v>
      </c>
      <c r="Q70" t="s">
        <v>18</v>
      </c>
      <c r="R70" t="s">
        <v>28</v>
      </c>
      <c r="S70">
        <v>9</v>
      </c>
      <c r="T70" s="3">
        <v>4415</v>
      </c>
      <c r="U70" s="3">
        <v>5</v>
      </c>
      <c r="V70" s="3">
        <v>46039</v>
      </c>
      <c r="W70" s="3">
        <v>46046</v>
      </c>
      <c r="X70" t="s">
        <v>15</v>
      </c>
    </row>
    <row r="71" spans="1:24" hidden="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>
        <v>1070</v>
      </c>
      <c r="M71" t="s">
        <v>52</v>
      </c>
      <c r="N71">
        <v>1070</v>
      </c>
      <c r="O71" t="s">
        <v>52</v>
      </c>
      <c r="P71" t="s">
        <v>43</v>
      </c>
      <c r="Q71" t="s">
        <v>13</v>
      </c>
      <c r="R71" t="s">
        <v>36</v>
      </c>
      <c r="S71">
        <v>10</v>
      </c>
      <c r="T71" s="3">
        <v>233</v>
      </c>
      <c r="U71" s="3">
        <v>7</v>
      </c>
      <c r="V71" s="3">
        <v>46076</v>
      </c>
      <c r="W71" s="3">
        <v>46077</v>
      </c>
      <c r="X71" t="s">
        <v>29</v>
      </c>
    </row>
    <row r="72" spans="1:24" hidden="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T72" s="3"/>
      <c r="U72" s="3"/>
      <c r="V72" s="3"/>
      <c r="W72" s="3"/>
    </row>
    <row r="73" spans="1:24" hidden="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T73" s="3"/>
      <c r="U73" s="3"/>
      <c r="V73" s="3"/>
      <c r="W73" s="3"/>
    </row>
    <row r="74" spans="1:24" hidden="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>
        <v>1073</v>
      </c>
      <c r="M74" t="s">
        <v>58</v>
      </c>
      <c r="N74">
        <v>1073</v>
      </c>
      <c r="O74" t="s">
        <v>58</v>
      </c>
      <c r="P74" t="s">
        <v>17</v>
      </c>
      <c r="Q74" t="s">
        <v>18</v>
      </c>
      <c r="R74" t="s">
        <v>56</v>
      </c>
      <c r="S74">
        <v>4</v>
      </c>
      <c r="T74" s="3">
        <v>2453</v>
      </c>
      <c r="U74" s="3">
        <v>7</v>
      </c>
      <c r="V74" s="3">
        <v>46126</v>
      </c>
      <c r="W74" s="3">
        <v>46129</v>
      </c>
      <c r="X74" t="s">
        <v>51</v>
      </c>
    </row>
    <row r="75" spans="1:24" hidden="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>
        <v>1074</v>
      </c>
      <c r="M75" t="s">
        <v>26</v>
      </c>
      <c r="N75">
        <v>1074</v>
      </c>
      <c r="O75" t="s">
        <v>26</v>
      </c>
      <c r="P75" t="s">
        <v>31</v>
      </c>
      <c r="Q75" t="s">
        <v>13</v>
      </c>
      <c r="R75" t="s">
        <v>50</v>
      </c>
      <c r="S75">
        <v>11</v>
      </c>
      <c r="T75" s="3">
        <v>390</v>
      </c>
      <c r="U75" s="3">
        <v>15</v>
      </c>
      <c r="V75" s="3">
        <v>46114</v>
      </c>
      <c r="W75" s="3">
        <v>46123</v>
      </c>
      <c r="X75" t="s">
        <v>29</v>
      </c>
    </row>
    <row r="76" spans="1:24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T76" s="3"/>
      <c r="U76" s="3"/>
      <c r="V76" s="3"/>
      <c r="W76" s="3"/>
    </row>
    <row r="77" spans="1:24" hidden="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T77" s="3"/>
      <c r="U77" s="3"/>
      <c r="V77" s="3"/>
      <c r="W77" s="3"/>
    </row>
    <row r="78" spans="1:24" hidden="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>
        <v>1077</v>
      </c>
      <c r="M78" t="s">
        <v>55</v>
      </c>
      <c r="N78">
        <v>1077</v>
      </c>
      <c r="O78" t="s">
        <v>55</v>
      </c>
      <c r="P78" t="s">
        <v>25</v>
      </c>
      <c r="Q78" t="s">
        <v>13</v>
      </c>
      <c r="R78" t="s">
        <v>14</v>
      </c>
      <c r="S78">
        <v>1</v>
      </c>
      <c r="T78" s="3">
        <v>123</v>
      </c>
      <c r="U78" s="3">
        <v>10</v>
      </c>
      <c r="V78" s="3">
        <v>46113</v>
      </c>
      <c r="W78" s="3">
        <v>46121</v>
      </c>
      <c r="X78" t="s">
        <v>51</v>
      </c>
    </row>
    <row r="79" spans="1:24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T79" s="3"/>
      <c r="U79" s="3"/>
      <c r="V79" s="3"/>
      <c r="W79" s="3"/>
    </row>
    <row r="80" spans="1:24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T80" s="3"/>
      <c r="U80" s="3"/>
      <c r="V80" s="3"/>
      <c r="W80" s="3"/>
    </row>
    <row r="81" spans="1:24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T81" s="3"/>
      <c r="U81" s="3"/>
      <c r="V81" s="3"/>
      <c r="W81" s="3"/>
    </row>
    <row r="82" spans="1:24" hidden="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T82" s="3"/>
      <c r="U82" s="3"/>
      <c r="V82" s="3"/>
      <c r="W82" s="3"/>
    </row>
    <row r="83" spans="1:24" hidden="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>
        <v>1082</v>
      </c>
      <c r="M83" t="s">
        <v>21</v>
      </c>
      <c r="N83">
        <v>1082</v>
      </c>
      <c r="O83" t="s">
        <v>21</v>
      </c>
      <c r="P83" t="s">
        <v>12</v>
      </c>
      <c r="Q83" t="s">
        <v>13</v>
      </c>
      <c r="R83" t="s">
        <v>14</v>
      </c>
      <c r="S83">
        <v>7</v>
      </c>
      <c r="T83" s="3">
        <v>133</v>
      </c>
      <c r="U83" s="3">
        <v>10</v>
      </c>
      <c r="V83" s="3">
        <v>46075</v>
      </c>
      <c r="W83" s="3">
        <v>46085</v>
      </c>
      <c r="X83" t="s">
        <v>51</v>
      </c>
    </row>
    <row r="84" spans="1:24" hidden="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>
        <v>1083</v>
      </c>
      <c r="M84" t="s">
        <v>55</v>
      </c>
      <c r="N84">
        <v>1083</v>
      </c>
      <c r="O84" t="s">
        <v>55</v>
      </c>
      <c r="P84" t="s">
        <v>33</v>
      </c>
      <c r="Q84" t="s">
        <v>13</v>
      </c>
      <c r="R84" t="s">
        <v>53</v>
      </c>
      <c r="S84">
        <v>4</v>
      </c>
      <c r="T84" s="3">
        <v>397</v>
      </c>
      <c r="U84" s="3">
        <v>7</v>
      </c>
      <c r="V84" s="3">
        <v>46185</v>
      </c>
      <c r="W84" s="3">
        <v>46193</v>
      </c>
      <c r="X84" t="s">
        <v>15</v>
      </c>
    </row>
    <row r="85" spans="1:24" hidden="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>
        <v>1084</v>
      </c>
      <c r="M85" t="s">
        <v>49</v>
      </c>
      <c r="N85">
        <v>1084</v>
      </c>
      <c r="O85" t="s">
        <v>49</v>
      </c>
      <c r="P85" t="s">
        <v>31</v>
      </c>
      <c r="Q85" t="s">
        <v>18</v>
      </c>
      <c r="R85" t="s">
        <v>28</v>
      </c>
      <c r="S85">
        <v>4</v>
      </c>
      <c r="T85" s="3">
        <v>6901</v>
      </c>
      <c r="U85" s="3">
        <v>10</v>
      </c>
      <c r="V85" s="3">
        <v>46047</v>
      </c>
      <c r="W85" s="3">
        <v>46057</v>
      </c>
      <c r="X85" t="s">
        <v>20</v>
      </c>
    </row>
    <row r="86" spans="1:24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T86" s="3"/>
      <c r="U86" s="3"/>
      <c r="V86" s="3"/>
      <c r="W86" s="3"/>
    </row>
    <row r="87" spans="1:24" hidden="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>
        <v>1086</v>
      </c>
      <c r="M87" t="s">
        <v>32</v>
      </c>
      <c r="N87">
        <v>1086</v>
      </c>
      <c r="O87" t="s">
        <v>32</v>
      </c>
      <c r="P87" t="s">
        <v>12</v>
      </c>
      <c r="Q87" t="s">
        <v>13</v>
      </c>
      <c r="R87" t="s">
        <v>53</v>
      </c>
      <c r="S87">
        <v>15</v>
      </c>
      <c r="T87" s="3">
        <v>40</v>
      </c>
      <c r="U87" s="3">
        <v>10</v>
      </c>
      <c r="V87" s="3">
        <v>46045</v>
      </c>
      <c r="W87" s="3">
        <v>46049</v>
      </c>
      <c r="X87" t="s">
        <v>24</v>
      </c>
    </row>
    <row r="88" spans="1:24" hidden="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>
        <v>1087</v>
      </c>
      <c r="M88" t="s">
        <v>11</v>
      </c>
      <c r="N88">
        <v>1087</v>
      </c>
      <c r="O88" t="s">
        <v>11</v>
      </c>
      <c r="P88" t="s">
        <v>31</v>
      </c>
      <c r="Q88" t="s">
        <v>13</v>
      </c>
      <c r="R88" t="s">
        <v>37</v>
      </c>
      <c r="S88">
        <v>13</v>
      </c>
      <c r="T88" s="3">
        <v>387</v>
      </c>
      <c r="U88" s="3">
        <v>7</v>
      </c>
      <c r="V88" s="3">
        <v>46171</v>
      </c>
      <c r="W88" s="3">
        <v>46176</v>
      </c>
      <c r="X88" t="s">
        <v>24</v>
      </c>
    </row>
    <row r="89" spans="1:24" hidden="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T89" s="3"/>
      <c r="U89" s="3"/>
      <c r="V89" s="3"/>
      <c r="W89" s="3"/>
    </row>
    <row r="90" spans="1:24" hidden="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T90" s="3"/>
      <c r="U90" s="3"/>
      <c r="V90" s="3"/>
      <c r="W90" s="3"/>
    </row>
    <row r="91" spans="1:24" hidden="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T91" s="3"/>
      <c r="U91" s="3"/>
      <c r="V91" s="3"/>
      <c r="W91" s="3"/>
    </row>
    <row r="92" spans="1:24" hidden="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>
        <v>1091</v>
      </c>
      <c r="M92" t="s">
        <v>55</v>
      </c>
      <c r="N92">
        <v>1091</v>
      </c>
      <c r="O92" t="s">
        <v>55</v>
      </c>
      <c r="P92" t="s">
        <v>17</v>
      </c>
      <c r="Q92" t="s">
        <v>13</v>
      </c>
      <c r="R92" t="s">
        <v>53</v>
      </c>
      <c r="S92">
        <v>2</v>
      </c>
      <c r="T92" s="3">
        <v>305</v>
      </c>
      <c r="U92" s="3">
        <v>0</v>
      </c>
      <c r="V92" s="3">
        <v>46136</v>
      </c>
      <c r="W92" s="3">
        <v>46144</v>
      </c>
      <c r="X92" t="s">
        <v>15</v>
      </c>
    </row>
    <row r="93" spans="1:24" hidden="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T93" s="3"/>
      <c r="U93" s="3"/>
      <c r="V93" s="3"/>
      <c r="W93" s="3"/>
    </row>
    <row r="94" spans="1:24" hidden="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>
        <v>1093</v>
      </c>
      <c r="M94" t="s">
        <v>47</v>
      </c>
      <c r="N94">
        <v>1093</v>
      </c>
      <c r="O94" t="s">
        <v>47</v>
      </c>
      <c r="P94" t="s">
        <v>25</v>
      </c>
      <c r="Q94" t="s">
        <v>18</v>
      </c>
      <c r="R94" t="s">
        <v>23</v>
      </c>
      <c r="S94">
        <v>6</v>
      </c>
      <c r="T94" s="3">
        <v>8224</v>
      </c>
      <c r="U94" s="3">
        <v>15</v>
      </c>
      <c r="V94" s="3">
        <v>46175</v>
      </c>
      <c r="W94" s="3">
        <v>46185</v>
      </c>
      <c r="X94" t="s">
        <v>51</v>
      </c>
    </row>
    <row r="95" spans="1:24" hidden="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T95" s="3"/>
      <c r="U95" s="3"/>
      <c r="V95" s="3"/>
      <c r="W95" s="3"/>
    </row>
    <row r="96" spans="1:24" hidden="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T96" s="3"/>
      <c r="U96" s="3"/>
      <c r="V96" s="3"/>
      <c r="W96" s="3"/>
    </row>
    <row r="97" spans="1:24" hidden="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>
        <v>1096</v>
      </c>
      <c r="M97" t="s">
        <v>49</v>
      </c>
      <c r="N97">
        <v>1096</v>
      </c>
      <c r="O97" t="s">
        <v>49</v>
      </c>
      <c r="P97" t="s">
        <v>17</v>
      </c>
      <c r="Q97" t="s">
        <v>18</v>
      </c>
      <c r="R97" t="s">
        <v>23</v>
      </c>
      <c r="S97">
        <v>15</v>
      </c>
      <c r="T97" s="3">
        <v>14724</v>
      </c>
      <c r="U97" s="3">
        <v>15</v>
      </c>
      <c r="V97" s="3">
        <v>46054</v>
      </c>
      <c r="W97" s="3">
        <v>46061</v>
      </c>
      <c r="X97" t="s">
        <v>20</v>
      </c>
    </row>
    <row r="98" spans="1:24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T98" s="3"/>
      <c r="U98" s="3"/>
      <c r="V98" s="3"/>
      <c r="W98" s="3"/>
    </row>
    <row r="99" spans="1:24" hidden="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>
        <v>1098</v>
      </c>
      <c r="M99" t="s">
        <v>26</v>
      </c>
      <c r="N99">
        <v>1098</v>
      </c>
      <c r="O99" t="s">
        <v>26</v>
      </c>
      <c r="P99" t="s">
        <v>25</v>
      </c>
      <c r="Q99" t="s">
        <v>13</v>
      </c>
      <c r="R99" t="s">
        <v>53</v>
      </c>
      <c r="S99">
        <v>17</v>
      </c>
      <c r="T99" s="3">
        <v>345</v>
      </c>
      <c r="U99" s="3">
        <v>2</v>
      </c>
      <c r="V99" s="3">
        <v>46126</v>
      </c>
      <c r="W99" s="3">
        <v>46127</v>
      </c>
      <c r="X99" t="s">
        <v>51</v>
      </c>
    </row>
    <row r="100" spans="1:24" hidden="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>
        <v>1099</v>
      </c>
      <c r="M100" t="s">
        <v>26</v>
      </c>
      <c r="N100">
        <v>1099</v>
      </c>
      <c r="O100" t="s">
        <v>26</v>
      </c>
      <c r="P100" t="s">
        <v>31</v>
      </c>
      <c r="Q100" t="s">
        <v>18</v>
      </c>
      <c r="R100" t="s">
        <v>19</v>
      </c>
      <c r="S100">
        <v>1</v>
      </c>
      <c r="T100" s="3">
        <v>5165</v>
      </c>
      <c r="U100" s="3">
        <v>2</v>
      </c>
      <c r="V100" s="3">
        <v>46058</v>
      </c>
      <c r="W100" s="3">
        <v>46060</v>
      </c>
      <c r="X100" t="s">
        <v>15</v>
      </c>
    </row>
    <row r="101" spans="1:24" hidden="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>
        <v>1100</v>
      </c>
      <c r="M101" t="s">
        <v>11</v>
      </c>
      <c r="N101">
        <v>1100</v>
      </c>
      <c r="O101" t="s">
        <v>11</v>
      </c>
      <c r="P101" t="s">
        <v>31</v>
      </c>
      <c r="Q101" t="s">
        <v>13</v>
      </c>
      <c r="R101" t="s">
        <v>14</v>
      </c>
      <c r="S101">
        <v>11</v>
      </c>
      <c r="T101" s="3">
        <v>296</v>
      </c>
      <c r="U101" s="3">
        <v>10</v>
      </c>
      <c r="V101" s="3">
        <v>46027</v>
      </c>
      <c r="W101" s="3">
        <v>46031</v>
      </c>
      <c r="X101" t="s">
        <v>51</v>
      </c>
    </row>
    <row r="102" spans="1:24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T102" s="3"/>
      <c r="U102" s="3"/>
      <c r="V102" s="3"/>
      <c r="W102" s="3"/>
    </row>
    <row r="103" spans="1:24" hidden="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T103" s="3"/>
      <c r="U103" s="3"/>
      <c r="V103" s="3"/>
      <c r="W103" s="3"/>
    </row>
    <row r="104" spans="1:24" hidden="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>
        <v>1103</v>
      </c>
      <c r="M104" t="s">
        <v>16</v>
      </c>
      <c r="N104">
        <v>1103</v>
      </c>
      <c r="O104" t="s">
        <v>16</v>
      </c>
      <c r="P104" t="s">
        <v>12</v>
      </c>
      <c r="Q104" t="s">
        <v>18</v>
      </c>
      <c r="R104" t="s">
        <v>23</v>
      </c>
      <c r="S104">
        <v>7</v>
      </c>
      <c r="T104" s="3">
        <v>11925</v>
      </c>
      <c r="U104" s="3">
        <v>5</v>
      </c>
      <c r="V104" s="3">
        <v>46040</v>
      </c>
      <c r="W104" s="3">
        <v>46041</v>
      </c>
      <c r="X104" t="s">
        <v>29</v>
      </c>
    </row>
    <row r="105" spans="1:24" hidden="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>
        <v>1104</v>
      </c>
      <c r="M105" t="s">
        <v>16</v>
      </c>
      <c r="N105">
        <v>1104</v>
      </c>
      <c r="O105" t="s">
        <v>16</v>
      </c>
      <c r="P105" t="s">
        <v>43</v>
      </c>
      <c r="Q105" t="s">
        <v>18</v>
      </c>
      <c r="R105" t="s">
        <v>19</v>
      </c>
      <c r="S105">
        <v>10</v>
      </c>
      <c r="T105" s="3">
        <v>12848</v>
      </c>
      <c r="U105" s="3">
        <v>15</v>
      </c>
      <c r="V105" s="3">
        <v>46060</v>
      </c>
      <c r="W105" s="3">
        <v>46064</v>
      </c>
      <c r="X105" t="s">
        <v>29</v>
      </c>
    </row>
    <row r="106" spans="1:24" hidden="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>
        <v>1105</v>
      </c>
      <c r="M106" t="s">
        <v>59</v>
      </c>
      <c r="N106">
        <v>1105</v>
      </c>
      <c r="O106" t="s">
        <v>59</v>
      </c>
      <c r="P106" t="s">
        <v>25</v>
      </c>
      <c r="Q106" t="s">
        <v>13</v>
      </c>
      <c r="R106" t="s">
        <v>50</v>
      </c>
      <c r="S106">
        <v>2</v>
      </c>
      <c r="T106" s="3">
        <v>493</v>
      </c>
      <c r="U106" s="3">
        <v>12</v>
      </c>
      <c r="V106" s="3">
        <v>46057</v>
      </c>
      <c r="W106" s="3">
        <v>46066</v>
      </c>
      <c r="X106" t="s">
        <v>51</v>
      </c>
    </row>
    <row r="107" spans="1:24" hidden="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>
        <v>1106</v>
      </c>
      <c r="M107" t="s">
        <v>27</v>
      </c>
      <c r="N107">
        <v>1106</v>
      </c>
      <c r="O107" t="s">
        <v>27</v>
      </c>
      <c r="P107" t="s">
        <v>43</v>
      </c>
      <c r="Q107" t="s">
        <v>18</v>
      </c>
      <c r="R107" t="s">
        <v>23</v>
      </c>
      <c r="S107">
        <v>20</v>
      </c>
      <c r="T107" s="3">
        <v>2141</v>
      </c>
      <c r="U107" s="3">
        <v>2</v>
      </c>
      <c r="V107" s="3">
        <v>46091</v>
      </c>
      <c r="W107" s="3">
        <v>46097</v>
      </c>
      <c r="X107" t="s">
        <v>29</v>
      </c>
    </row>
    <row r="108" spans="1:24" hidden="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T108" s="3"/>
      <c r="U108" s="3"/>
      <c r="V108" s="3"/>
      <c r="W108" s="3"/>
    </row>
    <row r="109" spans="1:24" hidden="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>
        <v>1108</v>
      </c>
      <c r="M109" t="s">
        <v>42</v>
      </c>
      <c r="N109">
        <v>1108</v>
      </c>
      <c r="O109" t="s">
        <v>42</v>
      </c>
      <c r="P109" t="s">
        <v>33</v>
      </c>
      <c r="Q109" t="s">
        <v>18</v>
      </c>
      <c r="R109" t="s">
        <v>28</v>
      </c>
      <c r="S109">
        <v>15</v>
      </c>
      <c r="T109" s="3">
        <v>13843</v>
      </c>
      <c r="U109" s="3">
        <v>7</v>
      </c>
      <c r="V109" s="3">
        <v>46119</v>
      </c>
      <c r="W109" s="3">
        <v>46127</v>
      </c>
      <c r="X109" t="s">
        <v>20</v>
      </c>
    </row>
    <row r="110" spans="1:24" hidden="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>
        <v>1109</v>
      </c>
      <c r="M110" t="s">
        <v>21</v>
      </c>
      <c r="N110">
        <v>1109</v>
      </c>
      <c r="O110" t="s">
        <v>21</v>
      </c>
      <c r="P110" t="s">
        <v>31</v>
      </c>
      <c r="Q110" t="s">
        <v>18</v>
      </c>
      <c r="R110" t="s">
        <v>44</v>
      </c>
      <c r="S110">
        <v>19</v>
      </c>
      <c r="T110" s="3">
        <v>6512</v>
      </c>
      <c r="U110" s="3">
        <v>10</v>
      </c>
      <c r="V110" s="3">
        <v>46033</v>
      </c>
      <c r="W110" s="3">
        <v>46037</v>
      </c>
      <c r="X110" t="s">
        <v>20</v>
      </c>
    </row>
    <row r="111" spans="1:24" hidden="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>
        <v>1110</v>
      </c>
      <c r="M111" t="s">
        <v>49</v>
      </c>
      <c r="N111">
        <v>1110</v>
      </c>
      <c r="O111" t="s">
        <v>49</v>
      </c>
      <c r="P111" t="s">
        <v>38</v>
      </c>
      <c r="Q111" t="s">
        <v>18</v>
      </c>
      <c r="R111" t="s">
        <v>23</v>
      </c>
      <c r="S111">
        <v>14</v>
      </c>
      <c r="T111" s="3">
        <v>6793</v>
      </c>
      <c r="U111" s="3">
        <v>7</v>
      </c>
      <c r="V111" s="3">
        <v>46077</v>
      </c>
      <c r="W111" s="3">
        <v>46082</v>
      </c>
      <c r="X111" t="s">
        <v>29</v>
      </c>
    </row>
    <row r="112" spans="1:24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T112" s="3"/>
      <c r="U112" s="3"/>
      <c r="V112" s="3"/>
      <c r="W112" s="3"/>
    </row>
    <row r="113" spans="1:24" hidden="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>
        <v>1112</v>
      </c>
      <c r="M113" t="s">
        <v>21</v>
      </c>
      <c r="N113">
        <v>1112</v>
      </c>
      <c r="O113" t="s">
        <v>21</v>
      </c>
      <c r="P113" t="s">
        <v>43</v>
      </c>
      <c r="Q113" t="s">
        <v>18</v>
      </c>
      <c r="R113" t="s">
        <v>44</v>
      </c>
      <c r="S113">
        <v>7</v>
      </c>
      <c r="T113" s="3">
        <v>1959</v>
      </c>
      <c r="U113" s="3">
        <v>15</v>
      </c>
      <c r="V113" s="3">
        <v>46090</v>
      </c>
      <c r="W113" s="3">
        <v>46100</v>
      </c>
      <c r="X113" t="s">
        <v>15</v>
      </c>
    </row>
    <row r="114" spans="1:24" hidden="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>
        <v>1113</v>
      </c>
      <c r="M114" t="s">
        <v>26</v>
      </c>
      <c r="N114">
        <v>1113</v>
      </c>
      <c r="O114" t="s">
        <v>26</v>
      </c>
      <c r="P114" t="s">
        <v>43</v>
      </c>
      <c r="Q114" t="s">
        <v>18</v>
      </c>
      <c r="R114" t="s">
        <v>56</v>
      </c>
      <c r="S114">
        <v>13</v>
      </c>
      <c r="T114" s="3">
        <v>6719</v>
      </c>
      <c r="U114" s="3">
        <v>15</v>
      </c>
      <c r="V114" s="3">
        <v>46076</v>
      </c>
      <c r="W114" s="3">
        <v>46081</v>
      </c>
      <c r="X114" t="s">
        <v>24</v>
      </c>
    </row>
    <row r="115" spans="1:24" hidden="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>
        <v>1114</v>
      </c>
      <c r="M115" t="s">
        <v>16</v>
      </c>
      <c r="N115">
        <v>1114</v>
      </c>
      <c r="O115" t="s">
        <v>16</v>
      </c>
      <c r="P115" t="s">
        <v>25</v>
      </c>
      <c r="Q115" t="s">
        <v>13</v>
      </c>
      <c r="R115" t="s">
        <v>50</v>
      </c>
      <c r="S115">
        <v>13</v>
      </c>
      <c r="T115" s="3">
        <v>32</v>
      </c>
      <c r="U115" s="3">
        <v>15</v>
      </c>
      <c r="V115" s="3">
        <v>46066</v>
      </c>
      <c r="W115" s="3">
        <v>46069</v>
      </c>
      <c r="X115" t="s">
        <v>15</v>
      </c>
    </row>
    <row r="116" spans="1:24" hidden="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>
        <v>1115</v>
      </c>
      <c r="M116" t="s">
        <v>59</v>
      </c>
      <c r="N116">
        <v>1115</v>
      </c>
      <c r="O116" t="s">
        <v>59</v>
      </c>
      <c r="P116" t="s">
        <v>43</v>
      </c>
      <c r="Q116" t="s">
        <v>13</v>
      </c>
      <c r="R116" t="s">
        <v>50</v>
      </c>
      <c r="S116">
        <v>9</v>
      </c>
      <c r="T116" s="3">
        <v>303</v>
      </c>
      <c r="U116" s="3">
        <v>10</v>
      </c>
      <c r="V116" s="3">
        <v>46149</v>
      </c>
      <c r="W116" s="3">
        <v>46157</v>
      </c>
      <c r="X116" t="s">
        <v>29</v>
      </c>
    </row>
    <row r="117" spans="1:24" hidden="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>
        <v>1116</v>
      </c>
      <c r="M117" t="s">
        <v>16</v>
      </c>
      <c r="N117">
        <v>1116</v>
      </c>
      <c r="O117" t="s">
        <v>16</v>
      </c>
      <c r="P117" t="s">
        <v>25</v>
      </c>
      <c r="Q117" t="s">
        <v>18</v>
      </c>
      <c r="R117" t="s">
        <v>56</v>
      </c>
      <c r="S117">
        <v>2</v>
      </c>
      <c r="T117" s="3">
        <v>12692</v>
      </c>
      <c r="U117" s="3">
        <v>15</v>
      </c>
      <c r="V117" s="3">
        <v>46049</v>
      </c>
      <c r="W117" s="3">
        <v>46051</v>
      </c>
      <c r="X117" t="s">
        <v>15</v>
      </c>
    </row>
    <row r="118" spans="1:24" hidden="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T118" s="3"/>
      <c r="U118" s="3"/>
      <c r="V118" s="3"/>
      <c r="W118" s="3"/>
    </row>
    <row r="119" spans="1:24" hidden="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>
        <v>1118</v>
      </c>
      <c r="M119" t="s">
        <v>21</v>
      </c>
      <c r="N119">
        <v>1118</v>
      </c>
      <c r="O119" t="s">
        <v>21</v>
      </c>
      <c r="P119" t="s">
        <v>22</v>
      </c>
      <c r="Q119" t="s">
        <v>18</v>
      </c>
      <c r="R119" t="s">
        <v>23</v>
      </c>
      <c r="S119">
        <v>18</v>
      </c>
      <c r="T119" s="3">
        <v>9118</v>
      </c>
      <c r="U119" s="3">
        <v>5</v>
      </c>
      <c r="V119" s="3">
        <v>46178</v>
      </c>
      <c r="W119" s="3">
        <v>46187</v>
      </c>
      <c r="X119" t="s">
        <v>29</v>
      </c>
    </row>
    <row r="120" spans="1:24" hidden="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>
        <v>1119</v>
      </c>
      <c r="M120" t="s">
        <v>30</v>
      </c>
      <c r="N120">
        <v>1119</v>
      </c>
      <c r="O120" t="s">
        <v>30</v>
      </c>
      <c r="P120" t="s">
        <v>43</v>
      </c>
      <c r="Q120" t="s">
        <v>18</v>
      </c>
      <c r="R120" t="s">
        <v>28</v>
      </c>
      <c r="S120">
        <v>2</v>
      </c>
      <c r="T120" s="3">
        <v>3706</v>
      </c>
      <c r="U120" s="3">
        <v>5</v>
      </c>
      <c r="V120" s="3">
        <v>46184</v>
      </c>
      <c r="W120" s="3">
        <v>46192</v>
      </c>
      <c r="X120" t="s">
        <v>51</v>
      </c>
    </row>
    <row r="121" spans="1:24" hidden="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>
        <v>1120</v>
      </c>
      <c r="M121" t="s">
        <v>32</v>
      </c>
      <c r="N121">
        <v>1120</v>
      </c>
      <c r="O121" t="s">
        <v>32</v>
      </c>
      <c r="P121" t="s">
        <v>38</v>
      </c>
      <c r="Q121" t="s">
        <v>13</v>
      </c>
      <c r="R121" t="s">
        <v>36</v>
      </c>
      <c r="S121">
        <v>10</v>
      </c>
      <c r="T121" s="3">
        <v>438</v>
      </c>
      <c r="U121" s="3">
        <v>10</v>
      </c>
      <c r="V121" s="3">
        <v>46061</v>
      </c>
      <c r="W121" s="3">
        <v>46065</v>
      </c>
      <c r="X121" t="s">
        <v>51</v>
      </c>
    </row>
    <row r="122" spans="1:24" hidden="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T122" s="3"/>
      <c r="U122" s="3"/>
      <c r="V122" s="3"/>
      <c r="W122" s="3"/>
    </row>
    <row r="123" spans="1:24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T123" s="3"/>
      <c r="U123" s="3"/>
      <c r="V123" s="3"/>
      <c r="W123" s="3"/>
    </row>
    <row r="124" spans="1:24" hidden="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T124" s="3"/>
      <c r="U124" s="3"/>
      <c r="V124" s="3"/>
      <c r="W124" s="3"/>
    </row>
    <row r="125" spans="1:24" hidden="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>
        <v>1124</v>
      </c>
      <c r="M125" t="s">
        <v>27</v>
      </c>
      <c r="N125">
        <v>1124</v>
      </c>
      <c r="O125" t="s">
        <v>27</v>
      </c>
      <c r="P125" t="s">
        <v>38</v>
      </c>
      <c r="Q125" t="s">
        <v>18</v>
      </c>
      <c r="R125" t="s">
        <v>56</v>
      </c>
      <c r="S125">
        <v>4</v>
      </c>
      <c r="T125" s="3">
        <v>14195</v>
      </c>
      <c r="U125" s="3">
        <v>15</v>
      </c>
      <c r="V125" s="3">
        <v>46182</v>
      </c>
      <c r="W125" s="3">
        <v>46189</v>
      </c>
      <c r="X125" t="s">
        <v>51</v>
      </c>
    </row>
    <row r="126" spans="1:24" hidden="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>
        <v>1125</v>
      </c>
      <c r="M126" t="s">
        <v>49</v>
      </c>
      <c r="N126">
        <v>1125</v>
      </c>
      <c r="O126" t="s">
        <v>49</v>
      </c>
      <c r="P126" t="s">
        <v>33</v>
      </c>
      <c r="Q126" t="s">
        <v>13</v>
      </c>
      <c r="R126" t="s">
        <v>14</v>
      </c>
      <c r="S126">
        <v>6</v>
      </c>
      <c r="T126" s="3">
        <v>30</v>
      </c>
      <c r="U126" s="3">
        <v>2</v>
      </c>
      <c r="V126" s="3">
        <v>46133</v>
      </c>
      <c r="W126" s="3">
        <v>46138</v>
      </c>
      <c r="X126" t="s">
        <v>24</v>
      </c>
    </row>
    <row r="127" spans="1:24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T127" s="3"/>
      <c r="U127" s="3"/>
      <c r="V127" s="3"/>
      <c r="W127" s="3"/>
    </row>
    <row r="128" spans="1:24" hidden="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>
        <v>1127</v>
      </c>
      <c r="M128" t="s">
        <v>26</v>
      </c>
      <c r="N128">
        <v>1127</v>
      </c>
      <c r="O128" t="s">
        <v>26</v>
      </c>
      <c r="P128" t="s">
        <v>33</v>
      </c>
      <c r="Q128" t="s">
        <v>18</v>
      </c>
      <c r="R128" t="s">
        <v>28</v>
      </c>
      <c r="S128">
        <v>15</v>
      </c>
      <c r="T128" s="3">
        <v>11694</v>
      </c>
      <c r="U128" s="3">
        <v>12</v>
      </c>
      <c r="V128" s="3">
        <v>46170</v>
      </c>
      <c r="W128" s="3">
        <v>46179</v>
      </c>
      <c r="X128" t="s">
        <v>29</v>
      </c>
    </row>
    <row r="129" spans="1:24" hidden="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T129" s="3"/>
      <c r="U129" s="3"/>
      <c r="V129" s="3"/>
      <c r="W129" s="3"/>
    </row>
    <row r="130" spans="1:24" hidden="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>
        <v>1129</v>
      </c>
      <c r="M130" t="s">
        <v>58</v>
      </c>
      <c r="N130">
        <v>1129</v>
      </c>
      <c r="O130" t="s">
        <v>58</v>
      </c>
      <c r="P130" t="s">
        <v>17</v>
      </c>
      <c r="Q130" t="s">
        <v>13</v>
      </c>
      <c r="R130" t="s">
        <v>50</v>
      </c>
      <c r="S130">
        <v>15</v>
      </c>
      <c r="T130" s="3">
        <v>75</v>
      </c>
      <c r="U130" s="3">
        <v>7</v>
      </c>
      <c r="V130" s="3">
        <v>46160</v>
      </c>
      <c r="W130" s="3">
        <v>46164</v>
      </c>
      <c r="X130" t="s">
        <v>29</v>
      </c>
    </row>
    <row r="131" spans="1:24" hidden="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>
        <v>1130</v>
      </c>
      <c r="M131" t="s">
        <v>48</v>
      </c>
      <c r="N131">
        <v>1130</v>
      </c>
      <c r="O131" t="s">
        <v>48</v>
      </c>
      <c r="P131" t="s">
        <v>33</v>
      </c>
      <c r="Q131" t="s">
        <v>13</v>
      </c>
      <c r="R131" t="s">
        <v>14</v>
      </c>
      <c r="S131">
        <v>12</v>
      </c>
      <c r="T131" s="3">
        <v>50</v>
      </c>
      <c r="U131" s="3">
        <v>2</v>
      </c>
      <c r="V131" s="3">
        <v>46125</v>
      </c>
      <c r="W131" s="3">
        <v>46131</v>
      </c>
      <c r="X131" t="s">
        <v>24</v>
      </c>
    </row>
    <row r="132" spans="1:24" hidden="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>
        <v>1131</v>
      </c>
      <c r="M132" t="s">
        <v>21</v>
      </c>
      <c r="N132">
        <v>1131</v>
      </c>
      <c r="O132" t="s">
        <v>21</v>
      </c>
      <c r="P132" t="s">
        <v>31</v>
      </c>
      <c r="Q132" t="s">
        <v>18</v>
      </c>
      <c r="R132" t="s">
        <v>23</v>
      </c>
      <c r="S132">
        <v>13</v>
      </c>
      <c r="T132" s="3">
        <v>3083</v>
      </c>
      <c r="U132" s="3">
        <v>7</v>
      </c>
      <c r="V132" s="3">
        <v>46168</v>
      </c>
      <c r="W132" s="3">
        <v>46173</v>
      </c>
      <c r="X132" t="s">
        <v>51</v>
      </c>
    </row>
    <row r="133" spans="1:24" hidden="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>
        <v>1132</v>
      </c>
      <c r="M133" t="s">
        <v>11</v>
      </c>
      <c r="N133">
        <v>1132</v>
      </c>
      <c r="O133" t="s">
        <v>11</v>
      </c>
      <c r="P133" t="s">
        <v>31</v>
      </c>
      <c r="Q133" t="s">
        <v>13</v>
      </c>
      <c r="R133" t="s">
        <v>50</v>
      </c>
      <c r="S133">
        <v>10</v>
      </c>
      <c r="T133" s="3">
        <v>270</v>
      </c>
      <c r="U133" s="3">
        <v>7</v>
      </c>
      <c r="V133" s="3">
        <v>46024</v>
      </c>
      <c r="W133" s="3">
        <v>46034</v>
      </c>
      <c r="X133" t="s">
        <v>24</v>
      </c>
    </row>
    <row r="134" spans="1:24" hidden="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>
        <v>1133</v>
      </c>
      <c r="M134" t="s">
        <v>11</v>
      </c>
      <c r="N134">
        <v>1133</v>
      </c>
      <c r="O134" t="s">
        <v>11</v>
      </c>
      <c r="P134" t="s">
        <v>12</v>
      </c>
      <c r="Q134" t="s">
        <v>18</v>
      </c>
      <c r="R134" t="s">
        <v>56</v>
      </c>
      <c r="S134">
        <v>6</v>
      </c>
      <c r="T134" s="3">
        <v>9037</v>
      </c>
      <c r="U134" s="3">
        <v>2</v>
      </c>
      <c r="V134" s="3">
        <v>46112</v>
      </c>
      <c r="W134" s="3">
        <v>46121</v>
      </c>
      <c r="X134" t="s">
        <v>51</v>
      </c>
    </row>
    <row r="135" spans="1:24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T135" s="3"/>
      <c r="U135" s="3"/>
      <c r="V135" s="3"/>
      <c r="W135" s="3"/>
    </row>
    <row r="136" spans="1:24" hidden="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T136" s="3"/>
      <c r="U136" s="3"/>
      <c r="V136" s="3"/>
      <c r="W136" s="3"/>
    </row>
    <row r="137" spans="1:24" hidden="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>
        <v>1136</v>
      </c>
      <c r="M137" t="s">
        <v>27</v>
      </c>
      <c r="N137">
        <v>1136</v>
      </c>
      <c r="O137" t="s">
        <v>27</v>
      </c>
      <c r="P137" t="s">
        <v>43</v>
      </c>
      <c r="Q137" t="s">
        <v>18</v>
      </c>
      <c r="R137" t="s">
        <v>56</v>
      </c>
      <c r="S137">
        <v>19</v>
      </c>
      <c r="T137" s="3">
        <v>14528</v>
      </c>
      <c r="U137" s="3">
        <v>12</v>
      </c>
      <c r="V137" s="3">
        <v>46056</v>
      </c>
      <c r="W137" s="3">
        <v>46062</v>
      </c>
      <c r="X137" t="s">
        <v>24</v>
      </c>
    </row>
    <row r="138" spans="1:24" hidden="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>
        <v>1137</v>
      </c>
      <c r="M138" t="s">
        <v>52</v>
      </c>
      <c r="N138">
        <v>1137</v>
      </c>
      <c r="O138" t="s">
        <v>52</v>
      </c>
      <c r="P138" t="s">
        <v>12</v>
      </c>
      <c r="Q138" t="s">
        <v>13</v>
      </c>
      <c r="R138" t="s">
        <v>37</v>
      </c>
      <c r="S138">
        <v>16</v>
      </c>
      <c r="T138" s="3">
        <v>270</v>
      </c>
      <c r="U138" s="3">
        <v>10</v>
      </c>
      <c r="V138" s="3">
        <v>46184</v>
      </c>
      <c r="W138" s="3">
        <v>46190</v>
      </c>
      <c r="X138" t="s">
        <v>29</v>
      </c>
    </row>
    <row r="139" spans="1:24" hidden="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>
        <v>1138</v>
      </c>
      <c r="M139" t="s">
        <v>55</v>
      </c>
      <c r="N139">
        <v>1138</v>
      </c>
      <c r="O139" t="s">
        <v>55</v>
      </c>
      <c r="P139" t="s">
        <v>43</v>
      </c>
      <c r="Q139" t="s">
        <v>18</v>
      </c>
      <c r="R139" t="s">
        <v>19</v>
      </c>
      <c r="S139">
        <v>5</v>
      </c>
      <c r="T139" s="3">
        <v>14466</v>
      </c>
      <c r="U139" s="3">
        <v>2</v>
      </c>
      <c r="V139" s="3">
        <v>46084</v>
      </c>
      <c r="W139" s="3">
        <v>46092</v>
      </c>
      <c r="X139" t="s">
        <v>51</v>
      </c>
    </row>
    <row r="140" spans="1:24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T140" s="3"/>
      <c r="U140" s="3"/>
      <c r="V140" s="3"/>
      <c r="W140" s="3"/>
    </row>
    <row r="141" spans="1:24" hidden="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T141" s="3"/>
      <c r="U141" s="3"/>
      <c r="V141" s="3"/>
      <c r="W141" s="3"/>
    </row>
    <row r="142" spans="1:24" hidden="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>
        <v>1141</v>
      </c>
      <c r="M142" t="s">
        <v>11</v>
      </c>
      <c r="N142">
        <v>1141</v>
      </c>
      <c r="O142" t="s">
        <v>11</v>
      </c>
      <c r="P142" t="s">
        <v>17</v>
      </c>
      <c r="Q142" t="s">
        <v>18</v>
      </c>
      <c r="R142" t="s">
        <v>44</v>
      </c>
      <c r="S142">
        <v>20</v>
      </c>
      <c r="T142" s="3">
        <v>6835</v>
      </c>
      <c r="U142" s="3">
        <v>2</v>
      </c>
      <c r="V142" s="3">
        <v>46043</v>
      </c>
      <c r="W142" s="3">
        <v>46053</v>
      </c>
      <c r="X142" t="s">
        <v>15</v>
      </c>
    </row>
    <row r="143" spans="1:24" hidden="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T143" s="3"/>
      <c r="U143" s="3"/>
      <c r="V143" s="3"/>
      <c r="W143" s="3"/>
    </row>
    <row r="144" spans="1:24" hidden="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>
        <v>1143</v>
      </c>
      <c r="M144" t="s">
        <v>29</v>
      </c>
      <c r="N144">
        <v>1143</v>
      </c>
      <c r="O144" t="s">
        <v>29</v>
      </c>
      <c r="P144" t="s">
        <v>17</v>
      </c>
      <c r="Q144" t="s">
        <v>13</v>
      </c>
      <c r="R144" t="s">
        <v>37</v>
      </c>
      <c r="S144">
        <v>13</v>
      </c>
      <c r="T144" s="3">
        <v>456</v>
      </c>
      <c r="U144" s="3">
        <v>2</v>
      </c>
      <c r="V144" s="3">
        <v>46160</v>
      </c>
      <c r="W144" s="3">
        <v>46167</v>
      </c>
      <c r="X144" t="s">
        <v>24</v>
      </c>
    </row>
    <row r="145" spans="1:24" hidden="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>
        <v>1144</v>
      </c>
      <c r="M145" t="s">
        <v>42</v>
      </c>
      <c r="N145">
        <v>1144</v>
      </c>
      <c r="O145" t="s">
        <v>42</v>
      </c>
      <c r="P145" t="s">
        <v>25</v>
      </c>
      <c r="Q145" t="s">
        <v>13</v>
      </c>
      <c r="R145" t="s">
        <v>14</v>
      </c>
      <c r="S145">
        <v>16</v>
      </c>
      <c r="T145" s="3">
        <v>219</v>
      </c>
      <c r="U145" s="3">
        <v>7</v>
      </c>
      <c r="V145" s="3">
        <v>46138</v>
      </c>
      <c r="W145" s="3">
        <v>46140</v>
      </c>
      <c r="X145" t="s">
        <v>20</v>
      </c>
    </row>
    <row r="146" spans="1:24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T146" s="3"/>
      <c r="U146" s="3"/>
      <c r="V146" s="3"/>
      <c r="W146" s="3"/>
    </row>
    <row r="147" spans="1:24" hidden="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T147" s="3"/>
      <c r="U147" s="3"/>
      <c r="V147" s="3"/>
      <c r="W147" s="3"/>
    </row>
    <row r="148" spans="1:24" hidden="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>
        <v>1147</v>
      </c>
      <c r="M148" t="s">
        <v>11</v>
      </c>
      <c r="N148">
        <v>1147</v>
      </c>
      <c r="O148" t="s">
        <v>11</v>
      </c>
      <c r="P148" t="s">
        <v>22</v>
      </c>
      <c r="Q148" t="s">
        <v>18</v>
      </c>
      <c r="R148" t="s">
        <v>28</v>
      </c>
      <c r="S148">
        <v>7</v>
      </c>
      <c r="T148" s="3">
        <v>9581</v>
      </c>
      <c r="U148" s="3">
        <v>5</v>
      </c>
      <c r="V148" s="3">
        <v>46154</v>
      </c>
      <c r="W148" s="3">
        <v>46155</v>
      </c>
      <c r="X148" t="s">
        <v>20</v>
      </c>
    </row>
    <row r="149" spans="1:24" hidden="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>
        <v>1148</v>
      </c>
      <c r="M149" t="s">
        <v>59</v>
      </c>
      <c r="N149">
        <v>1148</v>
      </c>
      <c r="O149" t="s">
        <v>59</v>
      </c>
      <c r="P149" t="s">
        <v>33</v>
      </c>
      <c r="Q149" t="s">
        <v>18</v>
      </c>
      <c r="R149" t="s">
        <v>28</v>
      </c>
      <c r="S149">
        <v>11</v>
      </c>
      <c r="T149" s="3">
        <v>3023</v>
      </c>
      <c r="U149" s="3">
        <v>7</v>
      </c>
      <c r="V149" s="3">
        <v>46030</v>
      </c>
      <c r="W149" s="3">
        <v>46032</v>
      </c>
      <c r="X149" t="s">
        <v>24</v>
      </c>
    </row>
    <row r="150" spans="1:24" hidden="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T150" s="3"/>
      <c r="U150" s="3"/>
      <c r="V150" s="3"/>
      <c r="W150" s="3"/>
    </row>
    <row r="151" spans="1:24" hidden="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>
        <v>1150</v>
      </c>
      <c r="M151" t="s">
        <v>42</v>
      </c>
      <c r="N151">
        <v>1150</v>
      </c>
      <c r="O151" t="s">
        <v>42</v>
      </c>
      <c r="P151" t="s">
        <v>12</v>
      </c>
      <c r="Q151" t="s">
        <v>18</v>
      </c>
      <c r="R151" t="s">
        <v>56</v>
      </c>
      <c r="S151">
        <v>10</v>
      </c>
      <c r="T151" s="3">
        <v>5323</v>
      </c>
      <c r="U151" s="3">
        <v>7</v>
      </c>
      <c r="V151" s="3">
        <v>46143</v>
      </c>
      <c r="W151" s="3">
        <v>46153</v>
      </c>
      <c r="X151" t="s">
        <v>24</v>
      </c>
    </row>
    <row r="152" spans="1:24" hidden="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>
        <v>1151</v>
      </c>
      <c r="M152" t="s">
        <v>46</v>
      </c>
      <c r="N152">
        <v>1151</v>
      </c>
      <c r="O152" t="s">
        <v>46</v>
      </c>
      <c r="P152" t="s">
        <v>43</v>
      </c>
      <c r="Q152" t="s">
        <v>13</v>
      </c>
      <c r="R152" t="s">
        <v>50</v>
      </c>
      <c r="S152">
        <v>20</v>
      </c>
      <c r="T152" s="3">
        <v>272</v>
      </c>
      <c r="U152" s="3">
        <v>15</v>
      </c>
      <c r="V152" s="3">
        <v>46024</v>
      </c>
      <c r="W152" s="3">
        <v>46029</v>
      </c>
      <c r="X152" t="s">
        <v>51</v>
      </c>
    </row>
    <row r="153" spans="1:24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T153" s="3"/>
      <c r="U153" s="3"/>
      <c r="V153" s="3"/>
      <c r="W153" s="3"/>
    </row>
    <row r="154" spans="1:24" hidden="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>
        <v>1153</v>
      </c>
      <c r="M154" t="s">
        <v>42</v>
      </c>
      <c r="N154">
        <v>1153</v>
      </c>
      <c r="O154" t="s">
        <v>42</v>
      </c>
      <c r="P154" t="s">
        <v>25</v>
      </c>
      <c r="Q154" t="s">
        <v>18</v>
      </c>
      <c r="R154" t="s">
        <v>23</v>
      </c>
      <c r="S154">
        <v>19</v>
      </c>
      <c r="T154" s="3">
        <v>10273</v>
      </c>
      <c r="U154" s="3">
        <v>12</v>
      </c>
      <c r="V154" s="3">
        <v>46069</v>
      </c>
      <c r="W154" s="3">
        <v>46072</v>
      </c>
      <c r="X154" t="s">
        <v>29</v>
      </c>
    </row>
    <row r="155" spans="1:24" hidden="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>
        <v>1154</v>
      </c>
      <c r="M155" t="s">
        <v>32</v>
      </c>
      <c r="N155">
        <v>1154</v>
      </c>
      <c r="O155" t="s">
        <v>32</v>
      </c>
      <c r="P155" t="s">
        <v>17</v>
      </c>
      <c r="Q155" t="s">
        <v>18</v>
      </c>
      <c r="R155" t="s">
        <v>56</v>
      </c>
      <c r="S155">
        <v>15</v>
      </c>
      <c r="T155" s="3">
        <v>6101</v>
      </c>
      <c r="U155" s="3">
        <v>0</v>
      </c>
      <c r="V155" s="3">
        <v>46178</v>
      </c>
      <c r="W155" s="3">
        <v>46183</v>
      </c>
      <c r="X155" t="s">
        <v>51</v>
      </c>
    </row>
    <row r="156" spans="1:24" hidden="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>
        <v>1155</v>
      </c>
      <c r="M156" t="s">
        <v>11</v>
      </c>
      <c r="N156">
        <v>1155</v>
      </c>
      <c r="O156" t="s">
        <v>11</v>
      </c>
      <c r="P156" t="s">
        <v>31</v>
      </c>
      <c r="Q156" t="s">
        <v>18</v>
      </c>
      <c r="R156" t="s">
        <v>28</v>
      </c>
      <c r="S156">
        <v>13</v>
      </c>
      <c r="T156" s="3">
        <v>4341</v>
      </c>
      <c r="U156" s="3">
        <v>15</v>
      </c>
      <c r="V156" s="3">
        <v>46093</v>
      </c>
      <c r="W156" s="3">
        <v>46096</v>
      </c>
      <c r="X156" t="s">
        <v>24</v>
      </c>
    </row>
    <row r="157" spans="1:24" hidden="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>
        <v>1156</v>
      </c>
      <c r="M157" t="s">
        <v>54</v>
      </c>
      <c r="N157">
        <v>1156</v>
      </c>
      <c r="O157" t="s">
        <v>54</v>
      </c>
      <c r="P157" t="s">
        <v>38</v>
      </c>
      <c r="Q157" t="s">
        <v>13</v>
      </c>
      <c r="R157" t="s">
        <v>36</v>
      </c>
      <c r="S157">
        <v>5</v>
      </c>
      <c r="T157" s="3">
        <v>466</v>
      </c>
      <c r="U157" s="3">
        <v>15</v>
      </c>
      <c r="V157" s="3">
        <v>46025</v>
      </c>
      <c r="W157" s="3">
        <v>46029</v>
      </c>
      <c r="X157" t="s">
        <v>15</v>
      </c>
    </row>
    <row r="158" spans="1:24" hidden="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>
        <v>1157</v>
      </c>
      <c r="M158" t="s">
        <v>52</v>
      </c>
      <c r="N158">
        <v>1157</v>
      </c>
      <c r="O158" t="s">
        <v>52</v>
      </c>
      <c r="P158" t="s">
        <v>33</v>
      </c>
      <c r="Q158" t="s">
        <v>13</v>
      </c>
      <c r="R158" t="s">
        <v>50</v>
      </c>
      <c r="S158">
        <v>3</v>
      </c>
      <c r="T158" s="3">
        <v>203</v>
      </c>
      <c r="U158" s="3">
        <v>15</v>
      </c>
      <c r="V158" s="3">
        <v>46076</v>
      </c>
      <c r="W158" s="3">
        <v>46080</v>
      </c>
      <c r="X158" t="s">
        <v>29</v>
      </c>
    </row>
    <row r="159" spans="1:24" hidden="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T159" s="3"/>
      <c r="U159" s="3"/>
      <c r="V159" s="3"/>
      <c r="W159" s="3"/>
    </row>
    <row r="160" spans="1:24" hidden="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>
        <v>1159</v>
      </c>
      <c r="M160" t="s">
        <v>32</v>
      </c>
      <c r="N160">
        <v>1159</v>
      </c>
      <c r="O160" t="s">
        <v>32</v>
      </c>
      <c r="P160" t="s">
        <v>43</v>
      </c>
      <c r="Q160" t="s">
        <v>18</v>
      </c>
      <c r="R160" t="s">
        <v>28</v>
      </c>
      <c r="S160">
        <v>20</v>
      </c>
      <c r="T160" s="3">
        <v>14000</v>
      </c>
      <c r="U160" s="3">
        <v>15</v>
      </c>
      <c r="V160" s="3">
        <v>46184</v>
      </c>
      <c r="W160" s="3">
        <v>46187</v>
      </c>
      <c r="X160" t="s">
        <v>15</v>
      </c>
    </row>
    <row r="161" spans="1:24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T161" s="3"/>
      <c r="U161" s="3"/>
      <c r="V161" s="3"/>
      <c r="W161" s="3"/>
    </row>
    <row r="162" spans="1:24" hidden="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T162" s="3"/>
      <c r="U162" s="3"/>
      <c r="V162" s="3"/>
      <c r="W162" s="3"/>
    </row>
    <row r="163" spans="1:24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T163" s="3"/>
      <c r="U163" s="3"/>
      <c r="V163" s="3"/>
      <c r="W163" s="3"/>
    </row>
    <row r="164" spans="1:24" hidden="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T164" s="3"/>
      <c r="U164" s="3"/>
      <c r="V164" s="3"/>
      <c r="W164" s="3"/>
    </row>
    <row r="165" spans="1:24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T165" s="3"/>
      <c r="U165" s="3"/>
      <c r="V165" s="3"/>
      <c r="W165" s="3"/>
    </row>
    <row r="166" spans="1:24" hidden="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>
        <v>1165</v>
      </c>
      <c r="M166" t="s">
        <v>48</v>
      </c>
      <c r="N166">
        <v>1165</v>
      </c>
      <c r="O166" t="s">
        <v>48</v>
      </c>
      <c r="P166" t="s">
        <v>25</v>
      </c>
      <c r="Q166" t="s">
        <v>13</v>
      </c>
      <c r="R166" t="s">
        <v>37</v>
      </c>
      <c r="S166">
        <v>1</v>
      </c>
      <c r="T166" s="3">
        <v>427</v>
      </c>
      <c r="U166" s="3">
        <v>0</v>
      </c>
      <c r="V166" s="3">
        <v>46042</v>
      </c>
      <c r="W166" s="3">
        <v>46050</v>
      </c>
      <c r="X166" t="s">
        <v>51</v>
      </c>
    </row>
    <row r="167" spans="1:24" hidden="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>
        <v>1166</v>
      </c>
      <c r="M167" t="s">
        <v>32</v>
      </c>
      <c r="N167">
        <v>1166</v>
      </c>
      <c r="O167" t="s">
        <v>32</v>
      </c>
      <c r="P167" t="s">
        <v>31</v>
      </c>
      <c r="Q167" t="s">
        <v>13</v>
      </c>
      <c r="R167" t="s">
        <v>37</v>
      </c>
      <c r="S167">
        <v>1</v>
      </c>
      <c r="T167" s="3">
        <v>396</v>
      </c>
      <c r="U167" s="3">
        <v>5</v>
      </c>
      <c r="V167" s="3">
        <v>46092</v>
      </c>
      <c r="W167" s="3">
        <v>46093</v>
      </c>
      <c r="X167" t="s">
        <v>20</v>
      </c>
    </row>
    <row r="168" spans="1:24" hidden="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>
        <v>1167</v>
      </c>
      <c r="M168" t="s">
        <v>48</v>
      </c>
      <c r="N168">
        <v>1167</v>
      </c>
      <c r="O168" t="s">
        <v>48</v>
      </c>
      <c r="P168" t="s">
        <v>17</v>
      </c>
      <c r="Q168" t="s">
        <v>13</v>
      </c>
      <c r="R168" t="s">
        <v>37</v>
      </c>
      <c r="S168">
        <v>20</v>
      </c>
      <c r="T168" s="3">
        <v>251</v>
      </c>
      <c r="U168" s="3">
        <v>5</v>
      </c>
      <c r="V168" s="3">
        <v>46160</v>
      </c>
      <c r="W168" s="3">
        <v>46170</v>
      </c>
      <c r="X168" t="s">
        <v>29</v>
      </c>
    </row>
    <row r="169" spans="1:24" hidden="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>
        <v>1168</v>
      </c>
      <c r="M169" t="s">
        <v>54</v>
      </c>
      <c r="N169">
        <v>1168</v>
      </c>
      <c r="O169" t="s">
        <v>54</v>
      </c>
      <c r="P169" t="s">
        <v>12</v>
      </c>
      <c r="Q169" t="s">
        <v>13</v>
      </c>
      <c r="R169" t="s">
        <v>37</v>
      </c>
      <c r="S169">
        <v>18</v>
      </c>
      <c r="T169" s="3">
        <v>335</v>
      </c>
      <c r="U169" s="3">
        <v>15</v>
      </c>
      <c r="V169" s="3">
        <v>46130</v>
      </c>
      <c r="W169" s="3">
        <v>46140</v>
      </c>
      <c r="X169" t="s">
        <v>29</v>
      </c>
    </row>
    <row r="170" spans="1:24" hidden="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>
        <v>1169</v>
      </c>
      <c r="M170" t="s">
        <v>47</v>
      </c>
      <c r="N170">
        <v>1169</v>
      </c>
      <c r="O170" t="s">
        <v>47</v>
      </c>
      <c r="P170" t="s">
        <v>12</v>
      </c>
      <c r="Q170" t="s">
        <v>18</v>
      </c>
      <c r="R170" t="s">
        <v>56</v>
      </c>
      <c r="S170">
        <v>12</v>
      </c>
      <c r="T170" s="3">
        <v>12104</v>
      </c>
      <c r="U170" s="3">
        <v>7</v>
      </c>
      <c r="V170" s="3">
        <v>46121</v>
      </c>
      <c r="W170" s="3">
        <v>46130</v>
      </c>
      <c r="X170" t="s">
        <v>24</v>
      </c>
    </row>
    <row r="171" spans="1:24" hidden="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>
        <v>1170</v>
      </c>
      <c r="M171" t="s">
        <v>49</v>
      </c>
      <c r="N171">
        <v>1170</v>
      </c>
      <c r="O171" t="s">
        <v>49</v>
      </c>
      <c r="P171" t="s">
        <v>38</v>
      </c>
      <c r="Q171" t="s">
        <v>13</v>
      </c>
      <c r="R171" t="s">
        <v>14</v>
      </c>
      <c r="S171">
        <v>6</v>
      </c>
      <c r="T171" s="3">
        <v>339</v>
      </c>
      <c r="U171" s="3">
        <v>12</v>
      </c>
      <c r="V171" s="3">
        <v>46105</v>
      </c>
      <c r="W171" s="3">
        <v>46106</v>
      </c>
      <c r="X171" t="s">
        <v>24</v>
      </c>
    </row>
    <row r="172" spans="1:24" hidden="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>
        <v>1171</v>
      </c>
      <c r="M172" t="s">
        <v>57</v>
      </c>
      <c r="N172">
        <v>1171</v>
      </c>
      <c r="O172" t="s">
        <v>57</v>
      </c>
      <c r="P172" t="s">
        <v>25</v>
      </c>
      <c r="Q172" t="s">
        <v>13</v>
      </c>
      <c r="R172" t="s">
        <v>50</v>
      </c>
      <c r="S172">
        <v>17</v>
      </c>
      <c r="T172" s="3">
        <v>147</v>
      </c>
      <c r="U172" s="3">
        <v>12</v>
      </c>
      <c r="V172" s="3">
        <v>46155</v>
      </c>
      <c r="W172" s="3">
        <v>46160</v>
      </c>
      <c r="X172" t="s">
        <v>20</v>
      </c>
    </row>
    <row r="173" spans="1:24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T173" s="3"/>
      <c r="U173" s="3"/>
      <c r="V173" s="3"/>
      <c r="W173" s="3"/>
    </row>
    <row r="174" spans="1:24" hidden="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>
        <v>1173</v>
      </c>
      <c r="M174" t="s">
        <v>40</v>
      </c>
      <c r="N174">
        <v>1173</v>
      </c>
      <c r="O174" t="s">
        <v>40</v>
      </c>
      <c r="P174" t="s">
        <v>17</v>
      </c>
      <c r="Q174" t="s">
        <v>13</v>
      </c>
      <c r="R174" t="s">
        <v>37</v>
      </c>
      <c r="S174">
        <v>15</v>
      </c>
      <c r="T174" s="3">
        <v>214</v>
      </c>
      <c r="U174" s="3">
        <v>10</v>
      </c>
      <c r="V174" s="3">
        <v>46050</v>
      </c>
      <c r="W174" s="3">
        <v>46060</v>
      </c>
      <c r="X174" t="s">
        <v>51</v>
      </c>
    </row>
    <row r="175" spans="1:24" hidden="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>
        <v>1174</v>
      </c>
      <c r="M175" t="s">
        <v>58</v>
      </c>
      <c r="N175">
        <v>1174</v>
      </c>
      <c r="O175" t="s">
        <v>58</v>
      </c>
      <c r="P175" t="s">
        <v>38</v>
      </c>
      <c r="Q175" t="s">
        <v>13</v>
      </c>
      <c r="R175" t="s">
        <v>14</v>
      </c>
      <c r="S175">
        <v>13</v>
      </c>
      <c r="T175" s="3">
        <v>155</v>
      </c>
      <c r="U175" s="3">
        <v>2</v>
      </c>
      <c r="V175" s="3">
        <v>46066</v>
      </c>
      <c r="W175" s="3">
        <v>46069</v>
      </c>
      <c r="X175" t="s">
        <v>24</v>
      </c>
    </row>
    <row r="176" spans="1:24" hidden="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T176" s="3"/>
      <c r="U176" s="3"/>
      <c r="V176" s="3"/>
      <c r="W176" s="3"/>
    </row>
    <row r="177" spans="1:24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T177" s="3"/>
      <c r="U177" s="3"/>
      <c r="V177" s="3"/>
      <c r="W177" s="3"/>
    </row>
    <row r="178" spans="1:24" hidden="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>
        <v>1177</v>
      </c>
      <c r="M178" t="s">
        <v>29</v>
      </c>
      <c r="N178">
        <v>1177</v>
      </c>
      <c r="O178" t="s">
        <v>29</v>
      </c>
      <c r="P178" t="s">
        <v>22</v>
      </c>
      <c r="Q178" t="s">
        <v>18</v>
      </c>
      <c r="R178" t="s">
        <v>19</v>
      </c>
      <c r="S178">
        <v>14</v>
      </c>
      <c r="T178" s="3">
        <v>7501</v>
      </c>
      <c r="U178" s="3">
        <v>7</v>
      </c>
      <c r="V178" s="3">
        <v>46169</v>
      </c>
      <c r="W178" s="3">
        <v>46179</v>
      </c>
      <c r="X178" t="s">
        <v>20</v>
      </c>
    </row>
    <row r="179" spans="1:24" hidden="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>
        <v>1178</v>
      </c>
      <c r="M179" t="s">
        <v>57</v>
      </c>
      <c r="N179">
        <v>1178</v>
      </c>
      <c r="O179" t="s">
        <v>57</v>
      </c>
      <c r="P179" t="s">
        <v>17</v>
      </c>
      <c r="Q179" t="s">
        <v>13</v>
      </c>
      <c r="R179" t="s">
        <v>50</v>
      </c>
      <c r="S179">
        <v>5</v>
      </c>
      <c r="T179" s="3">
        <v>50</v>
      </c>
      <c r="U179" s="3">
        <v>0</v>
      </c>
      <c r="V179" s="3">
        <v>46111</v>
      </c>
      <c r="W179" s="3">
        <v>46117</v>
      </c>
      <c r="X179" t="s">
        <v>20</v>
      </c>
    </row>
    <row r="180" spans="1:24" hidden="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T180" s="3"/>
      <c r="U180" s="3"/>
      <c r="V180" s="3"/>
      <c r="W180" s="3"/>
    </row>
    <row r="181" spans="1:24" hidden="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>
        <v>1180</v>
      </c>
      <c r="M181" t="s">
        <v>40</v>
      </c>
      <c r="N181">
        <v>1180</v>
      </c>
      <c r="O181" t="s">
        <v>40</v>
      </c>
      <c r="P181" t="s">
        <v>31</v>
      </c>
      <c r="Q181" t="s">
        <v>18</v>
      </c>
      <c r="R181" t="s">
        <v>28</v>
      </c>
      <c r="S181">
        <v>2</v>
      </c>
      <c r="T181" s="3">
        <v>2076</v>
      </c>
      <c r="U181" s="3">
        <v>2</v>
      </c>
      <c r="V181" s="3">
        <v>46111</v>
      </c>
      <c r="W181" s="3">
        <v>46121</v>
      </c>
      <c r="X181" t="s">
        <v>29</v>
      </c>
    </row>
    <row r="182" spans="1:24" hidden="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>
        <v>1181</v>
      </c>
      <c r="M182" t="s">
        <v>58</v>
      </c>
      <c r="N182">
        <v>1181</v>
      </c>
      <c r="O182" t="s">
        <v>58</v>
      </c>
      <c r="P182" t="s">
        <v>33</v>
      </c>
      <c r="Q182" t="s">
        <v>13</v>
      </c>
      <c r="R182" t="s">
        <v>36</v>
      </c>
      <c r="S182">
        <v>4</v>
      </c>
      <c r="T182" s="3">
        <v>357</v>
      </c>
      <c r="U182" s="3">
        <v>2</v>
      </c>
      <c r="V182" s="3">
        <v>46033</v>
      </c>
      <c r="W182" s="3">
        <v>46035</v>
      </c>
      <c r="X182" t="s">
        <v>15</v>
      </c>
    </row>
    <row r="183" spans="1:24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T183" s="3"/>
      <c r="U183" s="3"/>
      <c r="V183" s="3"/>
      <c r="W183" s="3"/>
    </row>
    <row r="184" spans="1:24" hidden="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>
        <v>1183</v>
      </c>
      <c r="M184" t="s">
        <v>52</v>
      </c>
      <c r="N184">
        <v>1183</v>
      </c>
      <c r="O184" t="s">
        <v>52</v>
      </c>
      <c r="P184" t="s">
        <v>43</v>
      </c>
      <c r="Q184" t="s">
        <v>13</v>
      </c>
      <c r="R184" t="s">
        <v>14</v>
      </c>
      <c r="S184">
        <v>2</v>
      </c>
      <c r="T184" s="3">
        <v>309</v>
      </c>
      <c r="U184" s="3">
        <v>2</v>
      </c>
      <c r="V184" s="3">
        <v>46109</v>
      </c>
      <c r="W184" s="3">
        <v>46111</v>
      </c>
      <c r="X184" t="s">
        <v>20</v>
      </c>
    </row>
    <row r="185" spans="1:24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T185" s="3"/>
      <c r="U185" s="3"/>
      <c r="V185" s="3"/>
      <c r="W185" s="3"/>
    </row>
    <row r="186" spans="1:24" hidden="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T186" s="3"/>
      <c r="U186" s="3"/>
      <c r="V186" s="3"/>
      <c r="W186" s="3"/>
    </row>
    <row r="187" spans="1:24" hidden="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>
        <v>1186</v>
      </c>
      <c r="M187" t="s">
        <v>16</v>
      </c>
      <c r="N187">
        <v>1186</v>
      </c>
      <c r="O187" t="s">
        <v>16</v>
      </c>
      <c r="P187" t="s">
        <v>25</v>
      </c>
      <c r="Q187" t="s">
        <v>18</v>
      </c>
      <c r="R187" t="s">
        <v>44</v>
      </c>
      <c r="S187">
        <v>10</v>
      </c>
      <c r="T187" s="3">
        <v>14951</v>
      </c>
      <c r="U187" s="3">
        <v>2</v>
      </c>
      <c r="V187" s="3">
        <v>46188</v>
      </c>
      <c r="W187" s="3">
        <v>46196</v>
      </c>
      <c r="X187" t="s">
        <v>24</v>
      </c>
    </row>
    <row r="188" spans="1:24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T188" s="3"/>
      <c r="U188" s="3"/>
      <c r="V188" s="3"/>
      <c r="W188" s="3"/>
    </row>
    <row r="189" spans="1:24" hidden="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>
        <v>1188</v>
      </c>
      <c r="M189" t="s">
        <v>29</v>
      </c>
      <c r="N189">
        <v>1188</v>
      </c>
      <c r="O189" t="s">
        <v>29</v>
      </c>
      <c r="P189" t="s">
        <v>22</v>
      </c>
      <c r="Q189" t="s">
        <v>18</v>
      </c>
      <c r="R189" t="s">
        <v>56</v>
      </c>
      <c r="S189">
        <v>6</v>
      </c>
      <c r="T189" s="3">
        <v>10368</v>
      </c>
      <c r="U189" s="3">
        <v>7</v>
      </c>
      <c r="V189" s="3">
        <v>46137</v>
      </c>
      <c r="W189" s="3">
        <v>46142</v>
      </c>
      <c r="X189" t="s">
        <v>15</v>
      </c>
    </row>
    <row r="190" spans="1:24" hidden="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>
        <v>1189</v>
      </c>
      <c r="M190" t="s">
        <v>49</v>
      </c>
      <c r="N190">
        <v>1189</v>
      </c>
      <c r="O190" t="s">
        <v>49</v>
      </c>
      <c r="P190" t="s">
        <v>31</v>
      </c>
      <c r="Q190" t="s">
        <v>18</v>
      </c>
      <c r="R190" t="s">
        <v>56</v>
      </c>
      <c r="S190">
        <v>12</v>
      </c>
      <c r="T190" s="3">
        <v>8327</v>
      </c>
      <c r="U190" s="3">
        <v>10</v>
      </c>
      <c r="V190" s="3">
        <v>46184</v>
      </c>
      <c r="W190" s="3">
        <v>46185</v>
      </c>
      <c r="X190" t="s">
        <v>29</v>
      </c>
    </row>
    <row r="191" spans="1:24" hidden="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>
        <v>1190</v>
      </c>
      <c r="M191" t="s">
        <v>57</v>
      </c>
      <c r="N191">
        <v>1190</v>
      </c>
      <c r="O191" t="s">
        <v>57</v>
      </c>
      <c r="P191" t="s">
        <v>17</v>
      </c>
      <c r="Q191" t="s">
        <v>18</v>
      </c>
      <c r="R191" t="s">
        <v>28</v>
      </c>
      <c r="S191">
        <v>4</v>
      </c>
      <c r="T191" s="3">
        <v>10154</v>
      </c>
      <c r="U191" s="3">
        <v>7</v>
      </c>
      <c r="V191" s="3">
        <v>46052</v>
      </c>
      <c r="W191" s="3">
        <v>46062</v>
      </c>
      <c r="X191" t="s">
        <v>20</v>
      </c>
    </row>
    <row r="192" spans="1:24" hidden="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>
        <v>1191</v>
      </c>
      <c r="M192" t="s">
        <v>52</v>
      </c>
      <c r="N192">
        <v>1191</v>
      </c>
      <c r="O192" t="s">
        <v>52</v>
      </c>
      <c r="P192" t="s">
        <v>33</v>
      </c>
      <c r="Q192" t="s">
        <v>18</v>
      </c>
      <c r="R192" t="s">
        <v>56</v>
      </c>
      <c r="S192">
        <v>9</v>
      </c>
      <c r="T192" s="3">
        <v>8631</v>
      </c>
      <c r="U192" s="3">
        <v>10</v>
      </c>
      <c r="V192" s="3">
        <v>46149</v>
      </c>
      <c r="W192" s="3">
        <v>46156</v>
      </c>
      <c r="X192" t="s">
        <v>20</v>
      </c>
    </row>
    <row r="193" spans="1:24" hidden="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>
        <v>1192</v>
      </c>
      <c r="M193" t="s">
        <v>21</v>
      </c>
      <c r="N193">
        <v>1192</v>
      </c>
      <c r="O193" t="s">
        <v>21</v>
      </c>
      <c r="P193" t="s">
        <v>33</v>
      </c>
      <c r="Q193" t="s">
        <v>13</v>
      </c>
      <c r="R193" t="s">
        <v>53</v>
      </c>
      <c r="S193">
        <v>18</v>
      </c>
      <c r="T193" s="3">
        <v>49</v>
      </c>
      <c r="U193" s="3">
        <v>12</v>
      </c>
      <c r="V193" s="3">
        <v>46089</v>
      </c>
      <c r="W193" s="3">
        <v>46095</v>
      </c>
      <c r="X193" t="s">
        <v>24</v>
      </c>
    </row>
    <row r="194" spans="1:24" hidden="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>
        <v>1193</v>
      </c>
      <c r="M194" t="s">
        <v>57</v>
      </c>
      <c r="N194">
        <v>1193</v>
      </c>
      <c r="O194" t="s">
        <v>57</v>
      </c>
      <c r="P194" t="s">
        <v>12</v>
      </c>
      <c r="Q194" t="s">
        <v>18</v>
      </c>
      <c r="R194" t="s">
        <v>23</v>
      </c>
      <c r="S194">
        <v>19</v>
      </c>
      <c r="T194" s="3">
        <v>2699</v>
      </c>
      <c r="U194" s="3">
        <v>7</v>
      </c>
      <c r="V194" s="3">
        <v>46110</v>
      </c>
      <c r="W194" s="3">
        <v>46112</v>
      </c>
      <c r="X194" t="s">
        <v>29</v>
      </c>
    </row>
    <row r="195" spans="1:24" hidden="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>
        <v>1194</v>
      </c>
      <c r="M195" t="s">
        <v>57</v>
      </c>
      <c r="N195">
        <v>1194</v>
      </c>
      <c r="O195" t="s">
        <v>57</v>
      </c>
      <c r="P195" t="s">
        <v>43</v>
      </c>
      <c r="Q195" t="s">
        <v>18</v>
      </c>
      <c r="R195" t="s">
        <v>28</v>
      </c>
      <c r="S195">
        <v>13</v>
      </c>
      <c r="T195" s="3">
        <v>12856</v>
      </c>
      <c r="U195" s="3">
        <v>15</v>
      </c>
      <c r="V195" s="3">
        <v>46129</v>
      </c>
      <c r="W195" s="3">
        <v>46133</v>
      </c>
      <c r="X195" t="s">
        <v>51</v>
      </c>
    </row>
    <row r="196" spans="1:24" hidden="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>
        <v>1195</v>
      </c>
      <c r="M196" t="s">
        <v>59</v>
      </c>
      <c r="N196">
        <v>1195</v>
      </c>
      <c r="O196" t="s">
        <v>59</v>
      </c>
      <c r="P196" t="s">
        <v>17</v>
      </c>
      <c r="Q196" t="s">
        <v>13</v>
      </c>
      <c r="R196" t="s">
        <v>50</v>
      </c>
      <c r="S196">
        <v>19</v>
      </c>
      <c r="T196" s="3">
        <v>313</v>
      </c>
      <c r="U196" s="3">
        <v>2</v>
      </c>
      <c r="V196" s="3">
        <v>46198</v>
      </c>
      <c r="W196" s="3">
        <v>46206</v>
      </c>
      <c r="X196" t="s">
        <v>51</v>
      </c>
    </row>
    <row r="197" spans="1:24" hidden="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T197" s="3"/>
      <c r="U197" s="3"/>
      <c r="V197" s="3"/>
      <c r="W197" s="3"/>
    </row>
    <row r="198" spans="1:24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T198" s="3"/>
      <c r="U198" s="3"/>
      <c r="V198" s="3"/>
      <c r="W198" s="3"/>
    </row>
    <row r="199" spans="1:24" hidden="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>
        <v>1198</v>
      </c>
      <c r="M199" t="s">
        <v>58</v>
      </c>
      <c r="N199">
        <v>1198</v>
      </c>
      <c r="O199" t="s">
        <v>58</v>
      </c>
      <c r="P199" t="s">
        <v>12</v>
      </c>
      <c r="Q199" t="s">
        <v>13</v>
      </c>
      <c r="R199" t="s">
        <v>14</v>
      </c>
      <c r="S199">
        <v>12</v>
      </c>
      <c r="T199" s="3">
        <v>491</v>
      </c>
      <c r="U199" s="3">
        <v>2</v>
      </c>
      <c r="V199" s="3">
        <v>46106</v>
      </c>
      <c r="W199" s="3">
        <v>46109</v>
      </c>
      <c r="X199" t="s">
        <v>51</v>
      </c>
    </row>
    <row r="200" spans="1:24" hidden="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T200" s="3"/>
      <c r="U200" s="3"/>
      <c r="V200" s="3"/>
      <c r="W200" s="3"/>
    </row>
    <row r="201" spans="1:24" hidden="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T201" s="3"/>
      <c r="U201" s="3"/>
      <c r="V201" s="3"/>
      <c r="W201" s="3"/>
    </row>
    <row r="202" spans="1:24" hidden="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>
        <v>1201</v>
      </c>
      <c r="M202" t="s">
        <v>54</v>
      </c>
      <c r="N202">
        <v>1201</v>
      </c>
      <c r="O202" t="s">
        <v>54</v>
      </c>
      <c r="P202" t="s">
        <v>31</v>
      </c>
      <c r="Q202" t="s">
        <v>13</v>
      </c>
      <c r="R202" t="s">
        <v>53</v>
      </c>
      <c r="S202">
        <v>18</v>
      </c>
      <c r="T202" s="3">
        <v>139</v>
      </c>
      <c r="U202" s="3">
        <v>12</v>
      </c>
      <c r="V202" s="3">
        <v>46075</v>
      </c>
      <c r="W202" s="3">
        <v>46076</v>
      </c>
      <c r="X202" t="s">
        <v>20</v>
      </c>
    </row>
    <row r="203" spans="1:24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T203" s="3"/>
      <c r="U203" s="3"/>
      <c r="V203" s="3"/>
      <c r="W203" s="3"/>
    </row>
    <row r="204" spans="1:24" hidden="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>
        <v>1203</v>
      </c>
      <c r="M204" t="s">
        <v>40</v>
      </c>
      <c r="N204">
        <v>1203</v>
      </c>
      <c r="O204" t="s">
        <v>40</v>
      </c>
      <c r="P204" t="s">
        <v>22</v>
      </c>
      <c r="Q204" t="s">
        <v>18</v>
      </c>
      <c r="R204" t="s">
        <v>23</v>
      </c>
      <c r="S204">
        <v>17</v>
      </c>
      <c r="T204" s="3">
        <v>6695</v>
      </c>
      <c r="U204" s="3">
        <v>2</v>
      </c>
      <c r="V204" s="3">
        <v>46119</v>
      </c>
      <c r="W204" s="3">
        <v>46122</v>
      </c>
      <c r="X204" t="s">
        <v>51</v>
      </c>
    </row>
    <row r="205" spans="1:24" hidden="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>
        <v>1204</v>
      </c>
      <c r="M205" t="s">
        <v>16</v>
      </c>
      <c r="N205">
        <v>1204</v>
      </c>
      <c r="O205" t="s">
        <v>16</v>
      </c>
      <c r="P205" t="s">
        <v>31</v>
      </c>
      <c r="Q205" t="s">
        <v>13</v>
      </c>
      <c r="R205" t="s">
        <v>37</v>
      </c>
      <c r="S205">
        <v>13</v>
      </c>
      <c r="T205" s="3">
        <v>416</v>
      </c>
      <c r="U205" s="3">
        <v>10</v>
      </c>
      <c r="V205" s="3">
        <v>46123</v>
      </c>
      <c r="W205" s="3">
        <v>46132</v>
      </c>
      <c r="X205" t="s">
        <v>20</v>
      </c>
    </row>
    <row r="206" spans="1:24" hidden="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>
        <v>1205</v>
      </c>
      <c r="M206" t="s">
        <v>21</v>
      </c>
      <c r="N206">
        <v>1205</v>
      </c>
      <c r="O206" t="s">
        <v>21</v>
      </c>
      <c r="P206" t="s">
        <v>38</v>
      </c>
      <c r="Q206" t="s">
        <v>13</v>
      </c>
      <c r="R206" t="s">
        <v>36</v>
      </c>
      <c r="S206">
        <v>1</v>
      </c>
      <c r="T206" s="3">
        <v>112</v>
      </c>
      <c r="U206" s="3">
        <v>7</v>
      </c>
      <c r="V206" s="3">
        <v>46033</v>
      </c>
      <c r="W206" s="3">
        <v>46040</v>
      </c>
      <c r="X206" t="s">
        <v>51</v>
      </c>
    </row>
    <row r="207" spans="1:24" hidden="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>
        <v>1206</v>
      </c>
      <c r="M207" t="s">
        <v>55</v>
      </c>
      <c r="N207">
        <v>1206</v>
      </c>
      <c r="O207" t="s">
        <v>55</v>
      </c>
      <c r="P207" t="s">
        <v>33</v>
      </c>
      <c r="Q207" t="s">
        <v>13</v>
      </c>
      <c r="R207" t="s">
        <v>14</v>
      </c>
      <c r="S207">
        <v>9</v>
      </c>
      <c r="T207" s="3">
        <v>60</v>
      </c>
      <c r="U207" s="3">
        <v>0</v>
      </c>
      <c r="V207" s="3">
        <v>46166</v>
      </c>
      <c r="W207" s="3">
        <v>46174</v>
      </c>
      <c r="X207" t="s">
        <v>15</v>
      </c>
    </row>
    <row r="208" spans="1:24" hidden="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>
        <v>1207</v>
      </c>
      <c r="M208" t="s">
        <v>55</v>
      </c>
      <c r="N208">
        <v>1207</v>
      </c>
      <c r="O208" t="s">
        <v>55</v>
      </c>
      <c r="P208" t="s">
        <v>25</v>
      </c>
      <c r="Q208" t="s">
        <v>13</v>
      </c>
      <c r="R208" t="s">
        <v>53</v>
      </c>
      <c r="S208">
        <v>7</v>
      </c>
      <c r="T208" s="3">
        <v>244</v>
      </c>
      <c r="U208" s="3">
        <v>2</v>
      </c>
      <c r="V208" s="3">
        <v>46164</v>
      </c>
      <c r="W208" s="3">
        <v>46173</v>
      </c>
      <c r="X208" t="s">
        <v>24</v>
      </c>
    </row>
    <row r="209" spans="1:24" hidden="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>
        <v>1208</v>
      </c>
      <c r="M209" t="s">
        <v>54</v>
      </c>
      <c r="N209">
        <v>1208</v>
      </c>
      <c r="O209" t="s">
        <v>54</v>
      </c>
      <c r="P209" t="s">
        <v>43</v>
      </c>
      <c r="Q209" t="s">
        <v>18</v>
      </c>
      <c r="R209" t="s">
        <v>44</v>
      </c>
      <c r="S209">
        <v>6</v>
      </c>
      <c r="T209" s="3">
        <v>7627</v>
      </c>
      <c r="U209" s="3">
        <v>10</v>
      </c>
      <c r="V209" s="3">
        <v>46042</v>
      </c>
      <c r="W209" s="3">
        <v>46047</v>
      </c>
      <c r="X209" t="s">
        <v>20</v>
      </c>
    </row>
    <row r="210" spans="1:24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T210" s="3"/>
      <c r="U210" s="3"/>
      <c r="V210" s="3"/>
      <c r="W210" s="3"/>
    </row>
    <row r="211" spans="1:24" hidden="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>
        <v>1210</v>
      </c>
      <c r="M211" t="s">
        <v>30</v>
      </c>
      <c r="N211">
        <v>1210</v>
      </c>
      <c r="O211" t="s">
        <v>30</v>
      </c>
      <c r="P211" t="s">
        <v>31</v>
      </c>
      <c r="Q211" t="s">
        <v>13</v>
      </c>
      <c r="R211" t="s">
        <v>53</v>
      </c>
      <c r="S211">
        <v>10</v>
      </c>
      <c r="T211" s="3">
        <v>349</v>
      </c>
      <c r="U211" s="3">
        <v>0</v>
      </c>
      <c r="V211" s="3">
        <v>46052</v>
      </c>
      <c r="W211" s="3">
        <v>46060</v>
      </c>
      <c r="X211" t="s">
        <v>29</v>
      </c>
    </row>
    <row r="212" spans="1:24" hidden="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T212" s="3"/>
      <c r="U212" s="3"/>
      <c r="V212" s="3"/>
      <c r="W212" s="3"/>
    </row>
    <row r="213" spans="1:24" hidden="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T213" s="3"/>
      <c r="U213" s="3"/>
      <c r="V213" s="3"/>
      <c r="W213" s="3"/>
    </row>
    <row r="214" spans="1:24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T214" s="3"/>
      <c r="U214" s="3"/>
      <c r="V214" s="3"/>
      <c r="W214" s="3"/>
    </row>
    <row r="215" spans="1:24" hidden="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>
        <v>1214</v>
      </c>
      <c r="M215" t="s">
        <v>42</v>
      </c>
      <c r="N215">
        <v>1214</v>
      </c>
      <c r="O215" t="s">
        <v>42</v>
      </c>
      <c r="P215" t="s">
        <v>25</v>
      </c>
      <c r="Q215" t="s">
        <v>18</v>
      </c>
      <c r="R215" t="s">
        <v>28</v>
      </c>
      <c r="S215">
        <v>19</v>
      </c>
      <c r="T215" s="3">
        <v>13832</v>
      </c>
      <c r="U215" s="3">
        <v>0</v>
      </c>
      <c r="V215" s="3">
        <v>46140</v>
      </c>
      <c r="W215" s="3">
        <v>46145</v>
      </c>
      <c r="X215" t="s">
        <v>51</v>
      </c>
    </row>
    <row r="216" spans="1:24" hidden="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>
        <v>1215</v>
      </c>
      <c r="M216" t="s">
        <v>27</v>
      </c>
      <c r="N216">
        <v>1215</v>
      </c>
      <c r="O216" t="s">
        <v>27</v>
      </c>
      <c r="P216" t="s">
        <v>12</v>
      </c>
      <c r="Q216" t="s">
        <v>18</v>
      </c>
      <c r="R216" t="s">
        <v>28</v>
      </c>
      <c r="S216">
        <v>6</v>
      </c>
      <c r="T216" s="3">
        <v>1254</v>
      </c>
      <c r="U216" s="3">
        <v>0</v>
      </c>
      <c r="V216" s="3">
        <v>46131</v>
      </c>
      <c r="W216" s="3">
        <v>46136</v>
      </c>
      <c r="X216" t="s">
        <v>29</v>
      </c>
    </row>
    <row r="217" spans="1:24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T217" s="3"/>
      <c r="U217" s="3"/>
      <c r="V217" s="3"/>
      <c r="W217" s="3"/>
    </row>
    <row r="218" spans="1:24" hidden="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>
        <v>1217</v>
      </c>
      <c r="M218" t="s">
        <v>30</v>
      </c>
      <c r="N218">
        <v>1217</v>
      </c>
      <c r="O218" t="s">
        <v>30</v>
      </c>
      <c r="P218" t="s">
        <v>22</v>
      </c>
      <c r="Q218" t="s">
        <v>13</v>
      </c>
      <c r="R218" t="s">
        <v>50</v>
      </c>
      <c r="S218">
        <v>18</v>
      </c>
      <c r="T218" s="3">
        <v>60</v>
      </c>
      <c r="U218" s="3">
        <v>0</v>
      </c>
      <c r="V218" s="3">
        <v>46171</v>
      </c>
      <c r="W218" s="3">
        <v>46172</v>
      </c>
      <c r="X218" t="s">
        <v>29</v>
      </c>
    </row>
    <row r="219" spans="1:24" hidden="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>
        <v>1218</v>
      </c>
      <c r="M219" t="s">
        <v>55</v>
      </c>
      <c r="N219">
        <v>1218</v>
      </c>
      <c r="O219" t="s">
        <v>55</v>
      </c>
      <c r="P219" t="s">
        <v>38</v>
      </c>
      <c r="Q219" t="s">
        <v>13</v>
      </c>
      <c r="R219" t="s">
        <v>14</v>
      </c>
      <c r="S219">
        <v>1</v>
      </c>
      <c r="T219" s="3">
        <v>134</v>
      </c>
      <c r="U219" s="3">
        <v>10</v>
      </c>
      <c r="V219" s="3">
        <v>46143</v>
      </c>
      <c r="W219" s="3">
        <v>46151</v>
      </c>
      <c r="X219" t="s">
        <v>51</v>
      </c>
    </row>
    <row r="220" spans="1:24" hidden="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>
        <v>1219</v>
      </c>
      <c r="M220" t="s">
        <v>46</v>
      </c>
      <c r="N220">
        <v>1219</v>
      </c>
      <c r="O220" t="s">
        <v>46</v>
      </c>
      <c r="P220" t="s">
        <v>22</v>
      </c>
      <c r="Q220" t="s">
        <v>13</v>
      </c>
      <c r="R220" t="s">
        <v>14</v>
      </c>
      <c r="S220">
        <v>4</v>
      </c>
      <c r="T220" s="3">
        <v>117</v>
      </c>
      <c r="U220" s="3">
        <v>15</v>
      </c>
      <c r="V220" s="3">
        <v>46202</v>
      </c>
      <c r="W220" s="3">
        <v>46206</v>
      </c>
      <c r="X220" t="s">
        <v>29</v>
      </c>
    </row>
    <row r="221" spans="1:24" hidden="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>
        <v>1220</v>
      </c>
      <c r="M221" t="s">
        <v>11</v>
      </c>
      <c r="N221">
        <v>1220</v>
      </c>
      <c r="O221" t="s">
        <v>11</v>
      </c>
      <c r="P221" t="s">
        <v>25</v>
      </c>
      <c r="Q221" t="s">
        <v>18</v>
      </c>
      <c r="R221" t="s">
        <v>56</v>
      </c>
      <c r="S221">
        <v>2</v>
      </c>
      <c r="T221" s="3">
        <v>8861</v>
      </c>
      <c r="U221" s="3">
        <v>2</v>
      </c>
      <c r="V221" s="3">
        <v>46170</v>
      </c>
      <c r="W221" s="3">
        <v>46174</v>
      </c>
      <c r="X221" t="s">
        <v>24</v>
      </c>
    </row>
    <row r="222" spans="1:24" hidden="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>
        <v>1221</v>
      </c>
      <c r="M222" t="s">
        <v>11</v>
      </c>
      <c r="N222">
        <v>1221</v>
      </c>
      <c r="O222" t="s">
        <v>11</v>
      </c>
      <c r="P222" t="s">
        <v>31</v>
      </c>
      <c r="Q222" t="s">
        <v>18</v>
      </c>
      <c r="R222" t="s">
        <v>56</v>
      </c>
      <c r="S222">
        <v>18</v>
      </c>
      <c r="T222" s="3">
        <v>2681</v>
      </c>
      <c r="U222" s="3">
        <v>10</v>
      </c>
      <c r="V222" s="3">
        <v>46122</v>
      </c>
      <c r="W222" s="3">
        <v>46125</v>
      </c>
      <c r="X222" t="s">
        <v>51</v>
      </c>
    </row>
    <row r="223" spans="1:24" hidden="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>
        <v>1222</v>
      </c>
      <c r="M223" t="s">
        <v>30</v>
      </c>
      <c r="N223">
        <v>1222</v>
      </c>
      <c r="O223" t="s">
        <v>30</v>
      </c>
      <c r="P223" t="s">
        <v>33</v>
      </c>
      <c r="Q223" t="s">
        <v>18</v>
      </c>
      <c r="R223" t="s">
        <v>23</v>
      </c>
      <c r="S223">
        <v>9</v>
      </c>
      <c r="T223" s="3">
        <v>2712</v>
      </c>
      <c r="U223" s="3">
        <v>12</v>
      </c>
      <c r="V223" s="3">
        <v>46154</v>
      </c>
      <c r="W223" s="3">
        <v>46163</v>
      </c>
      <c r="X223" t="s">
        <v>15</v>
      </c>
    </row>
    <row r="224" spans="1:24" hidden="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>
        <v>1223</v>
      </c>
      <c r="M224" t="s">
        <v>59</v>
      </c>
      <c r="N224">
        <v>1223</v>
      </c>
      <c r="O224" t="s">
        <v>59</v>
      </c>
      <c r="P224" t="s">
        <v>17</v>
      </c>
      <c r="Q224" t="s">
        <v>18</v>
      </c>
      <c r="R224" t="s">
        <v>23</v>
      </c>
      <c r="S224">
        <v>4</v>
      </c>
      <c r="T224" s="3">
        <v>2249</v>
      </c>
      <c r="U224" s="3">
        <v>7</v>
      </c>
      <c r="V224" s="3">
        <v>46077</v>
      </c>
      <c r="W224" s="3">
        <v>46084</v>
      </c>
      <c r="X224" t="s">
        <v>15</v>
      </c>
    </row>
    <row r="225" spans="1:24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T225" s="3"/>
      <c r="U225" s="3"/>
      <c r="V225" s="3"/>
      <c r="W225" s="3"/>
    </row>
    <row r="226" spans="1:24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T226" s="3"/>
      <c r="U226" s="3"/>
      <c r="V226" s="3"/>
      <c r="W226" s="3"/>
    </row>
    <row r="227" spans="1:24" hidden="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T227" s="3"/>
      <c r="U227" s="3"/>
      <c r="V227" s="3"/>
      <c r="W227" s="3"/>
    </row>
    <row r="228" spans="1:24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T228" s="3"/>
      <c r="U228" s="3"/>
      <c r="V228" s="3"/>
      <c r="W228" s="3"/>
    </row>
    <row r="229" spans="1:24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T229" s="3"/>
      <c r="U229" s="3"/>
      <c r="V229" s="3"/>
      <c r="W229" s="3"/>
    </row>
    <row r="230" spans="1:24" hidden="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>
        <v>1229</v>
      </c>
      <c r="M230" t="s">
        <v>57</v>
      </c>
      <c r="N230">
        <v>1229</v>
      </c>
      <c r="O230" t="s">
        <v>57</v>
      </c>
      <c r="P230" t="s">
        <v>12</v>
      </c>
      <c r="Q230" t="s">
        <v>18</v>
      </c>
      <c r="R230" t="s">
        <v>56</v>
      </c>
      <c r="S230">
        <v>14</v>
      </c>
      <c r="T230" s="3">
        <v>5859</v>
      </c>
      <c r="U230" s="3">
        <v>12</v>
      </c>
      <c r="V230" s="3">
        <v>46027</v>
      </c>
      <c r="W230" s="3">
        <v>46036</v>
      </c>
      <c r="X230" t="s">
        <v>20</v>
      </c>
    </row>
    <row r="231" spans="1:24" hidden="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T231" s="3"/>
      <c r="U231" s="3"/>
      <c r="V231" s="3"/>
      <c r="W231" s="3"/>
    </row>
    <row r="232" spans="1:24" hidden="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>
        <v>1231</v>
      </c>
      <c r="M232" t="s">
        <v>48</v>
      </c>
      <c r="N232">
        <v>1231</v>
      </c>
      <c r="O232" t="s">
        <v>48</v>
      </c>
      <c r="P232" t="s">
        <v>38</v>
      </c>
      <c r="Q232" t="s">
        <v>18</v>
      </c>
      <c r="R232" t="s">
        <v>19</v>
      </c>
      <c r="S232">
        <v>13</v>
      </c>
      <c r="T232" s="3">
        <v>10297</v>
      </c>
      <c r="U232" s="3">
        <v>12</v>
      </c>
      <c r="V232" s="3">
        <v>46178</v>
      </c>
      <c r="W232" s="3">
        <v>46186</v>
      </c>
      <c r="X232" t="s">
        <v>20</v>
      </c>
    </row>
    <row r="233" spans="1:24" hidden="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T233" s="3"/>
      <c r="U233" s="3"/>
      <c r="V233" s="3"/>
      <c r="W233" s="3"/>
    </row>
    <row r="234" spans="1:24" hidden="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>
        <v>1233</v>
      </c>
      <c r="M234" t="s">
        <v>58</v>
      </c>
      <c r="N234">
        <v>1233</v>
      </c>
      <c r="O234" t="s">
        <v>58</v>
      </c>
      <c r="P234" t="s">
        <v>22</v>
      </c>
      <c r="Q234" t="s">
        <v>18</v>
      </c>
      <c r="R234" t="s">
        <v>19</v>
      </c>
      <c r="S234">
        <v>20</v>
      </c>
      <c r="T234" s="3">
        <v>13941</v>
      </c>
      <c r="U234" s="3">
        <v>15</v>
      </c>
      <c r="V234" s="3">
        <v>46198</v>
      </c>
      <c r="W234" s="3">
        <v>46202</v>
      </c>
      <c r="X234" t="s">
        <v>24</v>
      </c>
    </row>
    <row r="235" spans="1:24" hidden="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>
        <v>1234</v>
      </c>
      <c r="M235" t="s">
        <v>11</v>
      </c>
      <c r="N235">
        <v>1234</v>
      </c>
      <c r="O235" t="s">
        <v>11</v>
      </c>
      <c r="P235" t="s">
        <v>25</v>
      </c>
      <c r="Q235" t="s">
        <v>18</v>
      </c>
      <c r="R235" t="s">
        <v>28</v>
      </c>
      <c r="S235">
        <v>1</v>
      </c>
      <c r="T235" s="3">
        <v>14320</v>
      </c>
      <c r="U235" s="3">
        <v>12</v>
      </c>
      <c r="V235" s="3">
        <v>46114</v>
      </c>
      <c r="W235" s="3">
        <v>46121</v>
      </c>
      <c r="X235" t="s">
        <v>51</v>
      </c>
    </row>
    <row r="236" spans="1:24" hidden="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>
        <v>1235</v>
      </c>
      <c r="M236" t="s">
        <v>57</v>
      </c>
      <c r="N236">
        <v>1235</v>
      </c>
      <c r="O236" t="s">
        <v>57</v>
      </c>
      <c r="P236" t="s">
        <v>25</v>
      </c>
      <c r="Q236" t="s">
        <v>13</v>
      </c>
      <c r="R236" t="s">
        <v>50</v>
      </c>
      <c r="S236">
        <v>15</v>
      </c>
      <c r="T236" s="3">
        <v>267</v>
      </c>
      <c r="U236" s="3">
        <v>15</v>
      </c>
      <c r="V236" s="3">
        <v>46172</v>
      </c>
      <c r="W236" s="3">
        <v>46177</v>
      </c>
      <c r="X236" t="s">
        <v>29</v>
      </c>
    </row>
    <row r="237" spans="1:24" hidden="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>
        <v>1236</v>
      </c>
      <c r="M237" t="s">
        <v>54</v>
      </c>
      <c r="N237">
        <v>1236</v>
      </c>
      <c r="O237" t="s">
        <v>54</v>
      </c>
      <c r="P237" t="s">
        <v>43</v>
      </c>
      <c r="Q237" t="s">
        <v>13</v>
      </c>
      <c r="R237" t="s">
        <v>37</v>
      </c>
      <c r="S237">
        <v>12</v>
      </c>
      <c r="T237" s="3">
        <v>189</v>
      </c>
      <c r="U237" s="3">
        <v>7</v>
      </c>
      <c r="V237" s="3">
        <v>46164</v>
      </c>
      <c r="W237" s="3">
        <v>46169</v>
      </c>
      <c r="X237" t="s">
        <v>29</v>
      </c>
    </row>
    <row r="238" spans="1:24" hidden="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>
        <v>1237</v>
      </c>
      <c r="M238" t="s">
        <v>46</v>
      </c>
      <c r="N238">
        <v>1237</v>
      </c>
      <c r="O238" t="s">
        <v>46</v>
      </c>
      <c r="P238" t="s">
        <v>38</v>
      </c>
      <c r="Q238" t="s">
        <v>18</v>
      </c>
      <c r="R238" t="s">
        <v>56</v>
      </c>
      <c r="S238">
        <v>8</v>
      </c>
      <c r="T238" s="3">
        <v>12123</v>
      </c>
      <c r="U238" s="3">
        <v>2</v>
      </c>
      <c r="V238" s="3">
        <v>46137</v>
      </c>
      <c r="W238" s="3">
        <v>46145</v>
      </c>
      <c r="X238" t="s">
        <v>15</v>
      </c>
    </row>
    <row r="239" spans="1:24" hidden="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>
        <v>1238</v>
      </c>
      <c r="M239" t="s">
        <v>30</v>
      </c>
      <c r="N239">
        <v>1238</v>
      </c>
      <c r="O239" t="s">
        <v>30</v>
      </c>
      <c r="P239" t="s">
        <v>31</v>
      </c>
      <c r="Q239" t="s">
        <v>13</v>
      </c>
      <c r="R239" t="s">
        <v>14</v>
      </c>
      <c r="S239">
        <v>6</v>
      </c>
      <c r="T239" s="3">
        <v>180</v>
      </c>
      <c r="U239" s="3">
        <v>12</v>
      </c>
      <c r="V239" s="3">
        <v>46096</v>
      </c>
      <c r="W239" s="3">
        <v>46097</v>
      </c>
      <c r="X239" t="s">
        <v>51</v>
      </c>
    </row>
    <row r="240" spans="1:24" hidden="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>
        <v>1239</v>
      </c>
      <c r="M240" t="s">
        <v>48</v>
      </c>
      <c r="N240">
        <v>1239</v>
      </c>
      <c r="O240" t="s">
        <v>48</v>
      </c>
      <c r="P240" t="s">
        <v>17</v>
      </c>
      <c r="Q240" t="s">
        <v>18</v>
      </c>
      <c r="R240" t="s">
        <v>56</v>
      </c>
      <c r="S240">
        <v>2</v>
      </c>
      <c r="T240" s="3">
        <v>12330</v>
      </c>
      <c r="U240" s="3">
        <v>12</v>
      </c>
      <c r="V240" s="3">
        <v>46122</v>
      </c>
      <c r="W240" s="3">
        <v>46125</v>
      </c>
      <c r="X240" t="s">
        <v>15</v>
      </c>
    </row>
    <row r="241" spans="1:24" hidden="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>
        <v>1240</v>
      </c>
      <c r="M241" t="s">
        <v>55</v>
      </c>
      <c r="N241">
        <v>1240</v>
      </c>
      <c r="O241" t="s">
        <v>55</v>
      </c>
      <c r="P241" t="s">
        <v>33</v>
      </c>
      <c r="Q241" t="s">
        <v>18</v>
      </c>
      <c r="R241" t="s">
        <v>23</v>
      </c>
      <c r="S241">
        <v>2</v>
      </c>
      <c r="T241" s="3">
        <v>5475</v>
      </c>
      <c r="U241" s="3">
        <v>2</v>
      </c>
      <c r="V241" s="3">
        <v>46142</v>
      </c>
      <c r="W241" s="3">
        <v>46146</v>
      </c>
      <c r="X241" t="s">
        <v>29</v>
      </c>
    </row>
    <row r="242" spans="1:24" hidden="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>
        <v>1241</v>
      </c>
      <c r="M242" t="s">
        <v>46</v>
      </c>
      <c r="N242">
        <v>1241</v>
      </c>
      <c r="O242" t="s">
        <v>46</v>
      </c>
      <c r="P242" t="s">
        <v>31</v>
      </c>
      <c r="Q242" t="s">
        <v>18</v>
      </c>
      <c r="R242" t="s">
        <v>44</v>
      </c>
      <c r="S242">
        <v>1</v>
      </c>
      <c r="T242" s="3">
        <v>12537</v>
      </c>
      <c r="U242" s="3">
        <v>0</v>
      </c>
      <c r="V242" s="3">
        <v>46119</v>
      </c>
      <c r="W242" s="3">
        <v>46122</v>
      </c>
      <c r="X242" t="s">
        <v>15</v>
      </c>
    </row>
    <row r="243" spans="1:24" hidden="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>
        <v>1242</v>
      </c>
      <c r="M243" t="s">
        <v>54</v>
      </c>
      <c r="N243">
        <v>1242</v>
      </c>
      <c r="O243" t="s">
        <v>54</v>
      </c>
      <c r="P243" t="s">
        <v>38</v>
      </c>
      <c r="Q243" t="s">
        <v>13</v>
      </c>
      <c r="R243" t="s">
        <v>50</v>
      </c>
      <c r="S243">
        <v>7</v>
      </c>
      <c r="T243" s="3">
        <v>168</v>
      </c>
      <c r="U243" s="3">
        <v>10</v>
      </c>
      <c r="V243" s="3">
        <v>46191</v>
      </c>
      <c r="W243" s="3">
        <v>46196</v>
      </c>
      <c r="X243" t="s">
        <v>51</v>
      </c>
    </row>
    <row r="244" spans="1:24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T244" s="3"/>
      <c r="U244" s="3"/>
      <c r="V244" s="3"/>
      <c r="W244" s="3"/>
    </row>
    <row r="245" spans="1:24" hidden="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>
        <v>1244</v>
      </c>
      <c r="M245" t="s">
        <v>57</v>
      </c>
      <c r="N245">
        <v>1244</v>
      </c>
      <c r="O245" t="s">
        <v>57</v>
      </c>
      <c r="P245" t="s">
        <v>38</v>
      </c>
      <c r="Q245" t="s">
        <v>18</v>
      </c>
      <c r="R245" t="s">
        <v>28</v>
      </c>
      <c r="S245">
        <v>10</v>
      </c>
      <c r="T245" s="3">
        <v>6339</v>
      </c>
      <c r="U245" s="3">
        <v>12</v>
      </c>
      <c r="V245" s="3">
        <v>46200</v>
      </c>
      <c r="W245" s="3">
        <v>46205</v>
      </c>
      <c r="X245" t="s">
        <v>15</v>
      </c>
    </row>
    <row r="246" spans="1:24" hidden="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T246" s="3"/>
      <c r="U246" s="3"/>
      <c r="V246" s="3"/>
      <c r="W246" s="3"/>
    </row>
    <row r="247" spans="1:24" hidden="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T247" s="3"/>
      <c r="U247" s="3"/>
      <c r="V247" s="3"/>
      <c r="W247" s="3"/>
    </row>
    <row r="248" spans="1:24" hidden="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>
        <v>1247</v>
      </c>
      <c r="M248" t="s">
        <v>26</v>
      </c>
      <c r="N248">
        <v>1247</v>
      </c>
      <c r="O248" t="s">
        <v>26</v>
      </c>
      <c r="P248" t="s">
        <v>12</v>
      </c>
      <c r="Q248" t="s">
        <v>13</v>
      </c>
      <c r="R248" t="s">
        <v>50</v>
      </c>
      <c r="S248">
        <v>10</v>
      </c>
      <c r="T248" s="3">
        <v>336</v>
      </c>
      <c r="U248" s="3">
        <v>7</v>
      </c>
      <c r="V248" s="3">
        <v>46173</v>
      </c>
      <c r="W248" s="3">
        <v>46175</v>
      </c>
      <c r="X248" t="s">
        <v>20</v>
      </c>
    </row>
    <row r="249" spans="1:24" hidden="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>
        <v>1248</v>
      </c>
      <c r="M249" t="s">
        <v>27</v>
      </c>
      <c r="N249">
        <v>1248</v>
      </c>
      <c r="O249" t="s">
        <v>27</v>
      </c>
      <c r="P249" t="s">
        <v>43</v>
      </c>
      <c r="Q249" t="s">
        <v>13</v>
      </c>
      <c r="R249" t="s">
        <v>37</v>
      </c>
      <c r="S249">
        <v>5</v>
      </c>
      <c r="T249" s="3">
        <v>398</v>
      </c>
      <c r="U249" s="3">
        <v>7</v>
      </c>
      <c r="V249" s="3">
        <v>46161</v>
      </c>
      <c r="W249" s="3">
        <v>46171</v>
      </c>
      <c r="X249" t="s">
        <v>29</v>
      </c>
    </row>
    <row r="250" spans="1:24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T250" s="3"/>
      <c r="U250" s="3"/>
      <c r="V250" s="3"/>
      <c r="W250" s="3"/>
    </row>
    <row r="251" spans="1:24" hidden="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T251" s="3"/>
      <c r="U251" s="3"/>
      <c r="V251" s="3"/>
      <c r="W251" s="3"/>
    </row>
    <row r="252" spans="1:24" hidden="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T252" s="3"/>
      <c r="U252" s="3"/>
      <c r="V252" s="3"/>
      <c r="W252" s="3"/>
    </row>
    <row r="253" spans="1:24" hidden="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>
        <v>1252</v>
      </c>
      <c r="M253" t="s">
        <v>47</v>
      </c>
      <c r="N253">
        <v>1252</v>
      </c>
      <c r="O253" t="s">
        <v>47</v>
      </c>
      <c r="P253" t="s">
        <v>25</v>
      </c>
      <c r="Q253" t="s">
        <v>13</v>
      </c>
      <c r="R253" t="s">
        <v>36</v>
      </c>
      <c r="S253">
        <v>15</v>
      </c>
      <c r="T253" s="3">
        <v>257</v>
      </c>
      <c r="U253" s="3">
        <v>5</v>
      </c>
      <c r="V253" s="3">
        <v>46166</v>
      </c>
      <c r="W253" s="3">
        <v>46173</v>
      </c>
      <c r="X253" t="s">
        <v>20</v>
      </c>
    </row>
    <row r="254" spans="1:24" hidden="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T254" s="3"/>
      <c r="U254" s="3"/>
      <c r="V254" s="3"/>
      <c r="W254" s="3"/>
    </row>
    <row r="255" spans="1:24" hidden="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>
        <v>1254</v>
      </c>
      <c r="M255" t="s">
        <v>52</v>
      </c>
      <c r="N255">
        <v>1254</v>
      </c>
      <c r="O255" t="s">
        <v>52</v>
      </c>
      <c r="P255" t="s">
        <v>22</v>
      </c>
      <c r="Q255" t="s">
        <v>13</v>
      </c>
      <c r="R255" t="s">
        <v>50</v>
      </c>
      <c r="S255">
        <v>18</v>
      </c>
      <c r="T255" s="3">
        <v>447</v>
      </c>
      <c r="U255" s="3">
        <v>15</v>
      </c>
      <c r="V255" s="3">
        <v>46141</v>
      </c>
      <c r="W255" s="3">
        <v>46149</v>
      </c>
      <c r="X255" t="s">
        <v>24</v>
      </c>
    </row>
    <row r="256" spans="1:24" hidden="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>
        <v>1255</v>
      </c>
      <c r="M256" t="s">
        <v>32</v>
      </c>
      <c r="N256">
        <v>1255</v>
      </c>
      <c r="O256" t="s">
        <v>32</v>
      </c>
      <c r="P256" t="s">
        <v>17</v>
      </c>
      <c r="Q256" t="s">
        <v>18</v>
      </c>
      <c r="R256" t="s">
        <v>19</v>
      </c>
      <c r="S256">
        <v>1</v>
      </c>
      <c r="T256" s="3">
        <v>2240</v>
      </c>
      <c r="U256" s="3">
        <v>5</v>
      </c>
      <c r="V256" s="3">
        <v>46091</v>
      </c>
      <c r="W256" s="3">
        <v>46095</v>
      </c>
      <c r="X256" t="s">
        <v>20</v>
      </c>
    </row>
    <row r="257" spans="1:24" hidden="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>
        <v>1256</v>
      </c>
      <c r="M257" t="s">
        <v>48</v>
      </c>
      <c r="N257">
        <v>1256</v>
      </c>
      <c r="O257" t="s">
        <v>48</v>
      </c>
      <c r="P257" t="s">
        <v>31</v>
      </c>
      <c r="Q257" t="s">
        <v>13</v>
      </c>
      <c r="R257" t="s">
        <v>50</v>
      </c>
      <c r="S257">
        <v>19</v>
      </c>
      <c r="T257" s="3">
        <v>406</v>
      </c>
      <c r="U257" s="3">
        <v>7</v>
      </c>
      <c r="V257" s="3">
        <v>46057</v>
      </c>
      <c r="W257" s="3">
        <v>46061</v>
      </c>
      <c r="X257" t="s">
        <v>15</v>
      </c>
    </row>
    <row r="258" spans="1:24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T258" s="3"/>
      <c r="U258" s="3"/>
      <c r="V258" s="3"/>
      <c r="W258" s="3"/>
    </row>
    <row r="259" spans="1:24" hidden="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T259" s="3"/>
      <c r="U259" s="3"/>
      <c r="V259" s="3"/>
      <c r="W259" s="3"/>
    </row>
    <row r="260" spans="1:24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T260" s="3"/>
      <c r="U260" s="3"/>
      <c r="V260" s="3"/>
      <c r="W260" s="3"/>
    </row>
    <row r="261" spans="1:24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T261" s="3"/>
      <c r="U261" s="3"/>
      <c r="V261" s="3"/>
      <c r="W261" s="3"/>
    </row>
    <row r="262" spans="1:24" hidden="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>
        <v>1261</v>
      </c>
      <c r="M262" t="s">
        <v>40</v>
      </c>
      <c r="N262">
        <v>1261</v>
      </c>
      <c r="O262" t="s">
        <v>40</v>
      </c>
      <c r="P262" t="s">
        <v>17</v>
      </c>
      <c r="Q262" t="s">
        <v>13</v>
      </c>
      <c r="R262" t="s">
        <v>50</v>
      </c>
      <c r="S262">
        <v>20</v>
      </c>
      <c r="T262" s="3">
        <v>162</v>
      </c>
      <c r="U262" s="3">
        <v>7</v>
      </c>
      <c r="V262" s="3">
        <v>46119</v>
      </c>
      <c r="W262" s="3">
        <v>46120</v>
      </c>
      <c r="X262" t="s">
        <v>51</v>
      </c>
    </row>
    <row r="263" spans="1:24" hidden="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>
        <v>1262</v>
      </c>
      <c r="M263" t="s">
        <v>16</v>
      </c>
      <c r="N263">
        <v>1262</v>
      </c>
      <c r="O263" t="s">
        <v>16</v>
      </c>
      <c r="P263" t="s">
        <v>22</v>
      </c>
      <c r="Q263" t="s">
        <v>18</v>
      </c>
      <c r="R263" t="s">
        <v>28</v>
      </c>
      <c r="S263">
        <v>9</v>
      </c>
      <c r="T263" s="3">
        <v>2231</v>
      </c>
      <c r="U263" s="3">
        <v>15</v>
      </c>
      <c r="V263" s="3">
        <v>46174</v>
      </c>
      <c r="W263" s="3">
        <v>46183</v>
      </c>
      <c r="X263" t="s">
        <v>15</v>
      </c>
    </row>
    <row r="264" spans="1:24" hidden="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>
        <v>1263</v>
      </c>
      <c r="M264" t="s">
        <v>29</v>
      </c>
      <c r="N264">
        <v>1263</v>
      </c>
      <c r="O264" t="s">
        <v>29</v>
      </c>
      <c r="P264" t="s">
        <v>38</v>
      </c>
      <c r="Q264" t="s">
        <v>18</v>
      </c>
      <c r="R264" t="s">
        <v>28</v>
      </c>
      <c r="S264">
        <v>10</v>
      </c>
      <c r="T264" s="3">
        <v>1505</v>
      </c>
      <c r="U264" s="3">
        <v>0</v>
      </c>
      <c r="V264" s="3">
        <v>46130</v>
      </c>
      <c r="W264" s="3">
        <v>46138</v>
      </c>
      <c r="X264" t="s">
        <v>51</v>
      </c>
    </row>
    <row r="265" spans="1:24" hidden="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>
        <v>1264</v>
      </c>
      <c r="M265" t="s">
        <v>11</v>
      </c>
      <c r="N265">
        <v>1264</v>
      </c>
      <c r="O265" t="s">
        <v>11</v>
      </c>
      <c r="P265" t="s">
        <v>22</v>
      </c>
      <c r="Q265" t="s">
        <v>18</v>
      </c>
      <c r="R265" t="s">
        <v>28</v>
      </c>
      <c r="S265">
        <v>15</v>
      </c>
      <c r="T265" s="3">
        <v>6365</v>
      </c>
      <c r="U265" s="3">
        <v>10</v>
      </c>
      <c r="V265" s="3">
        <v>46200</v>
      </c>
      <c r="W265" s="3">
        <v>46206</v>
      </c>
      <c r="X265" t="s">
        <v>20</v>
      </c>
    </row>
    <row r="266" spans="1:24" hidden="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>
        <v>1265</v>
      </c>
      <c r="M266" t="s">
        <v>58</v>
      </c>
      <c r="N266">
        <v>1265</v>
      </c>
      <c r="O266" t="s">
        <v>58</v>
      </c>
      <c r="P266" t="s">
        <v>22</v>
      </c>
      <c r="Q266" t="s">
        <v>18</v>
      </c>
      <c r="R266" t="s">
        <v>19</v>
      </c>
      <c r="S266">
        <v>1</v>
      </c>
      <c r="T266" s="3">
        <v>1052</v>
      </c>
      <c r="U266" s="3">
        <v>7</v>
      </c>
      <c r="V266" s="3">
        <v>46117</v>
      </c>
      <c r="W266" s="3">
        <v>46127</v>
      </c>
      <c r="X266" t="s">
        <v>51</v>
      </c>
    </row>
    <row r="267" spans="1:24" hidden="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>
        <v>1266</v>
      </c>
      <c r="M267" t="s">
        <v>29</v>
      </c>
      <c r="N267">
        <v>1266</v>
      </c>
      <c r="O267" t="s">
        <v>29</v>
      </c>
      <c r="P267" t="s">
        <v>33</v>
      </c>
      <c r="Q267" t="s">
        <v>13</v>
      </c>
      <c r="R267" t="s">
        <v>14</v>
      </c>
      <c r="S267">
        <v>17</v>
      </c>
      <c r="T267" s="3">
        <v>365</v>
      </c>
      <c r="U267" s="3">
        <v>2</v>
      </c>
      <c r="V267" s="3">
        <v>46096</v>
      </c>
      <c r="W267" s="3">
        <v>46104</v>
      </c>
      <c r="X267" t="s">
        <v>51</v>
      </c>
    </row>
    <row r="268" spans="1:24" hidden="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>
        <v>1267</v>
      </c>
      <c r="M268" t="s">
        <v>27</v>
      </c>
      <c r="N268">
        <v>1267</v>
      </c>
      <c r="O268" t="s">
        <v>27</v>
      </c>
      <c r="P268" t="s">
        <v>38</v>
      </c>
      <c r="Q268" t="s">
        <v>13</v>
      </c>
      <c r="R268" t="s">
        <v>50</v>
      </c>
      <c r="S268">
        <v>1</v>
      </c>
      <c r="T268" s="3">
        <v>50</v>
      </c>
      <c r="U268" s="3">
        <v>0</v>
      </c>
      <c r="V268" s="3">
        <v>46129</v>
      </c>
      <c r="W268" s="3">
        <v>46138</v>
      </c>
      <c r="X268" t="s">
        <v>20</v>
      </c>
    </row>
    <row r="269" spans="1:24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T269" s="3"/>
      <c r="U269" s="3"/>
      <c r="V269" s="3"/>
      <c r="W269" s="3"/>
    </row>
    <row r="270" spans="1:24" hidden="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>
        <v>1269</v>
      </c>
      <c r="M270" t="s">
        <v>52</v>
      </c>
      <c r="N270">
        <v>1269</v>
      </c>
      <c r="O270" t="s">
        <v>52</v>
      </c>
      <c r="P270" t="s">
        <v>43</v>
      </c>
      <c r="Q270" t="s">
        <v>18</v>
      </c>
      <c r="R270" t="s">
        <v>19</v>
      </c>
      <c r="S270">
        <v>14</v>
      </c>
      <c r="T270" s="3">
        <v>5704</v>
      </c>
      <c r="U270" s="3">
        <v>2</v>
      </c>
      <c r="V270" s="3">
        <v>46129</v>
      </c>
      <c r="W270" s="3">
        <v>46131</v>
      </c>
      <c r="X270" t="s">
        <v>15</v>
      </c>
    </row>
    <row r="271" spans="1:24" hidden="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T271" s="3"/>
      <c r="U271" s="3"/>
      <c r="V271" s="3"/>
      <c r="W271" s="3"/>
    </row>
    <row r="272" spans="1:24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T272" s="3"/>
      <c r="U272" s="3"/>
      <c r="V272" s="3"/>
      <c r="W272" s="3"/>
    </row>
    <row r="273" spans="1:24" hidden="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T273" s="3"/>
      <c r="U273" s="3"/>
      <c r="V273" s="3"/>
      <c r="W273" s="3"/>
    </row>
    <row r="274" spans="1:24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T274" s="3"/>
      <c r="U274" s="3"/>
      <c r="V274" s="3"/>
      <c r="W274" s="3"/>
    </row>
    <row r="275" spans="1:24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T275" s="3"/>
      <c r="U275" s="3"/>
      <c r="V275" s="3"/>
      <c r="W275" s="3"/>
    </row>
    <row r="276" spans="1:24" hidden="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>
        <v>1275</v>
      </c>
      <c r="M276" t="s">
        <v>16</v>
      </c>
      <c r="N276">
        <v>1275</v>
      </c>
      <c r="O276" t="s">
        <v>16</v>
      </c>
      <c r="P276" t="s">
        <v>31</v>
      </c>
      <c r="Q276" t="s">
        <v>13</v>
      </c>
      <c r="R276" t="s">
        <v>50</v>
      </c>
      <c r="S276">
        <v>20</v>
      </c>
      <c r="T276" s="3">
        <v>451</v>
      </c>
      <c r="U276" s="3">
        <v>15</v>
      </c>
      <c r="V276" s="3">
        <v>46092</v>
      </c>
      <c r="W276" s="3">
        <v>46094</v>
      </c>
      <c r="X276" t="s">
        <v>20</v>
      </c>
    </row>
    <row r="277" spans="1:24" hidden="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>
        <v>1276</v>
      </c>
      <c r="M277" t="s">
        <v>40</v>
      </c>
      <c r="N277">
        <v>1276</v>
      </c>
      <c r="O277" t="s">
        <v>40</v>
      </c>
      <c r="P277" t="s">
        <v>12</v>
      </c>
      <c r="Q277" t="s">
        <v>18</v>
      </c>
      <c r="R277" t="s">
        <v>19</v>
      </c>
      <c r="S277">
        <v>1</v>
      </c>
      <c r="T277" s="3">
        <v>13437</v>
      </c>
      <c r="U277" s="3">
        <v>15</v>
      </c>
      <c r="V277" s="3">
        <v>46097</v>
      </c>
      <c r="W277" s="3">
        <v>46099</v>
      </c>
      <c r="X277" t="s">
        <v>24</v>
      </c>
    </row>
    <row r="278" spans="1:24" hidden="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>
        <v>1277</v>
      </c>
      <c r="M278" t="s">
        <v>59</v>
      </c>
      <c r="N278">
        <v>1277</v>
      </c>
      <c r="O278" t="s">
        <v>59</v>
      </c>
      <c r="P278" t="s">
        <v>17</v>
      </c>
      <c r="Q278" t="s">
        <v>13</v>
      </c>
      <c r="R278" t="s">
        <v>36</v>
      </c>
      <c r="S278">
        <v>14</v>
      </c>
      <c r="T278" s="3">
        <v>276</v>
      </c>
      <c r="U278" s="3">
        <v>0</v>
      </c>
      <c r="V278" s="3">
        <v>46086</v>
      </c>
      <c r="W278" s="3">
        <v>46089</v>
      </c>
      <c r="X278" t="s">
        <v>15</v>
      </c>
    </row>
    <row r="279" spans="1:24" hidden="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T279" s="3"/>
      <c r="U279" s="3"/>
      <c r="V279" s="3"/>
      <c r="W279" s="3"/>
    </row>
    <row r="280" spans="1:24" hidden="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T280" s="3"/>
      <c r="U280" s="3"/>
      <c r="V280" s="3"/>
      <c r="W280" s="3"/>
    </row>
    <row r="281" spans="1:24" hidden="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>
        <v>1280</v>
      </c>
      <c r="M281" t="s">
        <v>59</v>
      </c>
      <c r="N281">
        <v>1280</v>
      </c>
      <c r="O281" t="s">
        <v>59</v>
      </c>
      <c r="P281" t="s">
        <v>38</v>
      </c>
      <c r="Q281" t="s">
        <v>13</v>
      </c>
      <c r="R281" t="s">
        <v>53</v>
      </c>
      <c r="S281">
        <v>9</v>
      </c>
      <c r="T281" s="3">
        <v>50</v>
      </c>
      <c r="U281" s="3">
        <v>7</v>
      </c>
      <c r="V281" s="3">
        <v>46085</v>
      </c>
      <c r="W281" s="3">
        <v>46095</v>
      </c>
      <c r="X281" t="s">
        <v>51</v>
      </c>
    </row>
    <row r="282" spans="1:24" hidden="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>
        <v>1281</v>
      </c>
      <c r="M282" t="s">
        <v>55</v>
      </c>
      <c r="N282">
        <v>1281</v>
      </c>
      <c r="O282" t="s">
        <v>55</v>
      </c>
      <c r="P282" t="s">
        <v>17</v>
      </c>
      <c r="Q282" t="s">
        <v>13</v>
      </c>
      <c r="R282" t="s">
        <v>50</v>
      </c>
      <c r="S282">
        <v>6</v>
      </c>
      <c r="T282" s="3">
        <v>253</v>
      </c>
      <c r="U282" s="3">
        <v>0</v>
      </c>
      <c r="V282" s="3">
        <v>46055</v>
      </c>
      <c r="W282" s="3">
        <v>46063</v>
      </c>
      <c r="X282" t="s">
        <v>24</v>
      </c>
    </row>
    <row r="283" spans="1:24" hidden="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>
        <v>1282</v>
      </c>
      <c r="M283" t="s">
        <v>57</v>
      </c>
      <c r="N283">
        <v>1282</v>
      </c>
      <c r="O283" t="s">
        <v>57</v>
      </c>
      <c r="P283" t="s">
        <v>43</v>
      </c>
      <c r="Q283" t="s">
        <v>18</v>
      </c>
      <c r="R283" t="s">
        <v>44</v>
      </c>
      <c r="S283">
        <v>12</v>
      </c>
      <c r="T283" s="3">
        <v>3178</v>
      </c>
      <c r="U283" s="3">
        <v>10</v>
      </c>
      <c r="V283" s="3">
        <v>46176</v>
      </c>
      <c r="W283" s="3">
        <v>46177</v>
      </c>
      <c r="X283" t="s">
        <v>29</v>
      </c>
    </row>
    <row r="284" spans="1:24" hidden="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>
        <v>1283</v>
      </c>
      <c r="M284" t="s">
        <v>40</v>
      </c>
      <c r="N284">
        <v>1283</v>
      </c>
      <c r="O284" t="s">
        <v>40</v>
      </c>
      <c r="P284" t="s">
        <v>12</v>
      </c>
      <c r="Q284" t="s">
        <v>18</v>
      </c>
      <c r="R284" t="s">
        <v>23</v>
      </c>
      <c r="S284">
        <v>6</v>
      </c>
      <c r="T284" s="3">
        <v>1167</v>
      </c>
      <c r="U284" s="3">
        <v>2</v>
      </c>
      <c r="V284" s="3">
        <v>46100</v>
      </c>
      <c r="W284" s="3">
        <v>46106</v>
      </c>
      <c r="X284" t="s">
        <v>15</v>
      </c>
    </row>
    <row r="285" spans="1:24" hidden="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>
        <v>1284</v>
      </c>
      <c r="M285" t="s">
        <v>40</v>
      </c>
      <c r="N285">
        <v>1284</v>
      </c>
      <c r="O285" t="s">
        <v>40</v>
      </c>
      <c r="P285" t="s">
        <v>25</v>
      </c>
      <c r="Q285" t="s">
        <v>13</v>
      </c>
      <c r="R285" t="s">
        <v>37</v>
      </c>
      <c r="S285">
        <v>16</v>
      </c>
      <c r="T285" s="3">
        <v>419</v>
      </c>
      <c r="U285" s="3">
        <v>2</v>
      </c>
      <c r="V285" s="3">
        <v>46082</v>
      </c>
      <c r="W285" s="3">
        <v>46090</v>
      </c>
      <c r="X285" t="s">
        <v>15</v>
      </c>
    </row>
    <row r="286" spans="1:24" hidden="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>
        <v>1285</v>
      </c>
      <c r="M286" t="s">
        <v>32</v>
      </c>
      <c r="N286">
        <v>1285</v>
      </c>
      <c r="O286" t="s">
        <v>32</v>
      </c>
      <c r="P286" t="s">
        <v>38</v>
      </c>
      <c r="Q286" t="s">
        <v>13</v>
      </c>
      <c r="R286" t="s">
        <v>36</v>
      </c>
      <c r="S286">
        <v>7</v>
      </c>
      <c r="T286" s="3">
        <v>439</v>
      </c>
      <c r="U286" s="3">
        <v>15</v>
      </c>
      <c r="V286" s="3">
        <v>46055</v>
      </c>
      <c r="W286" s="3">
        <v>46058</v>
      </c>
      <c r="X286" t="s">
        <v>20</v>
      </c>
    </row>
    <row r="287" spans="1:24" hidden="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>
        <v>1286</v>
      </c>
      <c r="M287" t="s">
        <v>46</v>
      </c>
      <c r="N287">
        <v>1286</v>
      </c>
      <c r="O287" t="s">
        <v>46</v>
      </c>
      <c r="P287" t="s">
        <v>17</v>
      </c>
      <c r="Q287" t="s">
        <v>18</v>
      </c>
      <c r="R287" t="s">
        <v>56</v>
      </c>
      <c r="S287">
        <v>9</v>
      </c>
      <c r="T287" s="3">
        <v>1340</v>
      </c>
      <c r="U287" s="3">
        <v>2</v>
      </c>
      <c r="V287" s="3">
        <v>46168</v>
      </c>
      <c r="W287" s="3">
        <v>46173</v>
      </c>
      <c r="X287" t="s">
        <v>15</v>
      </c>
    </row>
    <row r="288" spans="1:24" hidden="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>
        <v>1287</v>
      </c>
      <c r="M288" t="s">
        <v>59</v>
      </c>
      <c r="N288">
        <v>1287</v>
      </c>
      <c r="O288" t="s">
        <v>59</v>
      </c>
      <c r="P288" t="s">
        <v>31</v>
      </c>
      <c r="Q288" t="s">
        <v>13</v>
      </c>
      <c r="R288" t="s">
        <v>14</v>
      </c>
      <c r="S288">
        <v>15</v>
      </c>
      <c r="T288" s="3">
        <v>251</v>
      </c>
      <c r="U288" s="3">
        <v>2</v>
      </c>
      <c r="V288" s="3">
        <v>46116</v>
      </c>
      <c r="W288" s="3">
        <v>46122</v>
      </c>
      <c r="X288" t="s">
        <v>51</v>
      </c>
    </row>
    <row r="289" spans="1:24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T289" s="3"/>
      <c r="U289" s="3"/>
      <c r="V289" s="3"/>
      <c r="W289" s="3"/>
    </row>
    <row r="290" spans="1:24" hidden="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T290" s="3"/>
      <c r="U290" s="3"/>
      <c r="V290" s="3"/>
      <c r="W290" s="3"/>
    </row>
    <row r="291" spans="1:24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T291" s="3"/>
      <c r="U291" s="3"/>
      <c r="V291" s="3"/>
      <c r="W291" s="3"/>
    </row>
    <row r="292" spans="1:24" hidden="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>
        <v>1291</v>
      </c>
      <c r="M292" t="s">
        <v>21</v>
      </c>
      <c r="N292">
        <v>1291</v>
      </c>
      <c r="O292" t="s">
        <v>21</v>
      </c>
      <c r="P292" t="s">
        <v>17</v>
      </c>
      <c r="Q292" t="s">
        <v>13</v>
      </c>
      <c r="R292" t="s">
        <v>36</v>
      </c>
      <c r="S292">
        <v>17</v>
      </c>
      <c r="T292" s="3">
        <v>415</v>
      </c>
      <c r="U292" s="3">
        <v>5</v>
      </c>
      <c r="V292" s="3">
        <v>46137</v>
      </c>
      <c r="W292" s="3">
        <v>46141</v>
      </c>
      <c r="X292" t="s">
        <v>20</v>
      </c>
    </row>
    <row r="293" spans="1:24" hidden="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T293" s="3"/>
      <c r="U293" s="3"/>
      <c r="V293" s="3"/>
      <c r="W293" s="3"/>
    </row>
    <row r="294" spans="1:24" hidden="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>
        <v>1293</v>
      </c>
      <c r="M294" t="s">
        <v>49</v>
      </c>
      <c r="N294">
        <v>1293</v>
      </c>
      <c r="O294" t="s">
        <v>49</v>
      </c>
      <c r="P294" t="s">
        <v>43</v>
      </c>
      <c r="Q294" t="s">
        <v>18</v>
      </c>
      <c r="R294" t="s">
        <v>23</v>
      </c>
      <c r="S294">
        <v>7</v>
      </c>
      <c r="T294" s="3">
        <v>11481</v>
      </c>
      <c r="U294" s="3">
        <v>15</v>
      </c>
      <c r="V294" s="3">
        <v>46045</v>
      </c>
      <c r="W294" s="3">
        <v>46050</v>
      </c>
      <c r="X294" t="s">
        <v>20</v>
      </c>
    </row>
    <row r="295" spans="1:24" hidden="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>
        <v>1294</v>
      </c>
      <c r="M295" t="s">
        <v>21</v>
      </c>
      <c r="N295">
        <v>1294</v>
      </c>
      <c r="O295" t="s">
        <v>21</v>
      </c>
      <c r="P295" t="s">
        <v>12</v>
      </c>
      <c r="Q295" t="s">
        <v>18</v>
      </c>
      <c r="R295" t="s">
        <v>19</v>
      </c>
      <c r="S295">
        <v>8</v>
      </c>
      <c r="T295" s="3">
        <v>14448</v>
      </c>
      <c r="U295" s="3">
        <v>10</v>
      </c>
      <c r="V295" s="3">
        <v>46181</v>
      </c>
      <c r="W295" s="3">
        <v>46189</v>
      </c>
      <c r="X295" t="s">
        <v>15</v>
      </c>
    </row>
    <row r="296" spans="1:24" hidden="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>
        <v>1295</v>
      </c>
      <c r="M296" t="s">
        <v>52</v>
      </c>
      <c r="N296">
        <v>1295</v>
      </c>
      <c r="O296" t="s">
        <v>52</v>
      </c>
      <c r="P296" t="s">
        <v>38</v>
      </c>
      <c r="Q296" t="s">
        <v>18</v>
      </c>
      <c r="R296" t="s">
        <v>28</v>
      </c>
      <c r="S296">
        <v>16</v>
      </c>
      <c r="T296" s="3">
        <v>11935</v>
      </c>
      <c r="U296" s="3">
        <v>12</v>
      </c>
      <c r="V296" s="3">
        <v>46157</v>
      </c>
      <c r="W296" s="3">
        <v>46162</v>
      </c>
      <c r="X296" t="s">
        <v>15</v>
      </c>
    </row>
    <row r="297" spans="1:24" hidden="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>
        <v>1296</v>
      </c>
      <c r="M297" t="s">
        <v>26</v>
      </c>
      <c r="N297">
        <v>1296</v>
      </c>
      <c r="O297" t="s">
        <v>26</v>
      </c>
      <c r="P297" t="s">
        <v>38</v>
      </c>
      <c r="Q297" t="s">
        <v>13</v>
      </c>
      <c r="R297" t="s">
        <v>50</v>
      </c>
      <c r="S297">
        <v>6</v>
      </c>
      <c r="T297" s="3">
        <v>201</v>
      </c>
      <c r="U297" s="3">
        <v>0</v>
      </c>
      <c r="V297" s="3">
        <v>46063</v>
      </c>
      <c r="W297" s="3">
        <v>46072</v>
      </c>
      <c r="X297" t="s">
        <v>51</v>
      </c>
    </row>
    <row r="298" spans="1:24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T298" s="3"/>
      <c r="U298" s="3"/>
      <c r="V298" s="3"/>
      <c r="W298" s="3"/>
    </row>
    <row r="299" spans="1:24" hidden="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T299" s="3"/>
      <c r="U299" s="3"/>
      <c r="V299" s="3"/>
      <c r="W299" s="3"/>
    </row>
    <row r="300" spans="1:24" hidden="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>
        <v>1299</v>
      </c>
      <c r="M300" t="s">
        <v>26</v>
      </c>
      <c r="N300">
        <v>1299</v>
      </c>
      <c r="O300" t="s">
        <v>26</v>
      </c>
      <c r="P300" t="s">
        <v>17</v>
      </c>
      <c r="Q300" t="s">
        <v>18</v>
      </c>
      <c r="R300" t="s">
        <v>56</v>
      </c>
      <c r="S300">
        <v>8</v>
      </c>
      <c r="T300" s="3">
        <v>8783</v>
      </c>
      <c r="U300" s="3">
        <v>2</v>
      </c>
      <c r="V300" s="3">
        <v>46123</v>
      </c>
      <c r="W300" s="3">
        <v>46132</v>
      </c>
      <c r="X300" t="s">
        <v>15</v>
      </c>
    </row>
    <row r="301" spans="1:24" hidden="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T301" s="3"/>
      <c r="U301" s="3"/>
      <c r="V301" s="3"/>
      <c r="W301" s="3"/>
    </row>
    <row r="302" spans="1:24" hidden="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>
        <v>1301</v>
      </c>
      <c r="M302" t="s">
        <v>54</v>
      </c>
      <c r="N302">
        <v>1301</v>
      </c>
      <c r="O302" t="s">
        <v>54</v>
      </c>
      <c r="P302" t="s">
        <v>17</v>
      </c>
      <c r="Q302" t="s">
        <v>18</v>
      </c>
      <c r="R302" t="s">
        <v>28</v>
      </c>
      <c r="S302">
        <v>3</v>
      </c>
      <c r="T302" s="3">
        <v>7020</v>
      </c>
      <c r="U302" s="3">
        <v>10</v>
      </c>
      <c r="V302" s="3">
        <v>46028</v>
      </c>
      <c r="W302" s="3">
        <v>46038</v>
      </c>
      <c r="X302" t="s">
        <v>24</v>
      </c>
    </row>
    <row r="303" spans="1:24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T303" s="3"/>
      <c r="U303" s="3"/>
      <c r="V303" s="3"/>
      <c r="W303" s="3"/>
    </row>
    <row r="304" spans="1:24" hidden="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T304" s="3"/>
      <c r="U304" s="3"/>
      <c r="V304" s="3"/>
      <c r="W304" s="3"/>
    </row>
    <row r="305" spans="1:24" hidden="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>
        <v>1304</v>
      </c>
      <c r="M305" t="s">
        <v>59</v>
      </c>
      <c r="N305">
        <v>1304</v>
      </c>
      <c r="O305" t="s">
        <v>59</v>
      </c>
      <c r="P305" t="s">
        <v>25</v>
      </c>
      <c r="Q305" t="s">
        <v>13</v>
      </c>
      <c r="R305" t="s">
        <v>36</v>
      </c>
      <c r="S305">
        <v>20</v>
      </c>
      <c r="T305" s="3">
        <v>368</v>
      </c>
      <c r="U305" s="3">
        <v>7</v>
      </c>
      <c r="V305" s="3">
        <v>46042</v>
      </c>
      <c r="W305" s="3">
        <v>46051</v>
      </c>
      <c r="X305" t="s">
        <v>51</v>
      </c>
    </row>
    <row r="306" spans="1:24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T306" s="3"/>
      <c r="U306" s="3"/>
      <c r="V306" s="3"/>
      <c r="W306" s="3"/>
    </row>
    <row r="307" spans="1:24" hidden="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>
        <v>1306</v>
      </c>
      <c r="M307" t="s">
        <v>54</v>
      </c>
      <c r="N307">
        <v>1306</v>
      </c>
      <c r="O307" t="s">
        <v>54</v>
      </c>
      <c r="P307" t="s">
        <v>43</v>
      </c>
      <c r="Q307" t="s">
        <v>13</v>
      </c>
      <c r="R307" t="s">
        <v>36</v>
      </c>
      <c r="S307">
        <v>1</v>
      </c>
      <c r="T307" s="3">
        <v>332</v>
      </c>
      <c r="U307" s="3">
        <v>0</v>
      </c>
      <c r="V307" s="3">
        <v>46191</v>
      </c>
      <c r="W307" s="3">
        <v>46194</v>
      </c>
      <c r="X307" t="s">
        <v>20</v>
      </c>
    </row>
    <row r="308" spans="1:24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T308" s="3"/>
      <c r="U308" s="3"/>
      <c r="V308" s="3"/>
      <c r="W308" s="3"/>
    </row>
    <row r="309" spans="1:24" hidden="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T309" s="3"/>
      <c r="U309" s="3"/>
      <c r="V309" s="3"/>
      <c r="W309" s="3"/>
    </row>
    <row r="310" spans="1:24" hidden="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>
        <v>1309</v>
      </c>
      <c r="M310" t="s">
        <v>29</v>
      </c>
      <c r="N310">
        <v>1309</v>
      </c>
      <c r="O310" t="s">
        <v>29</v>
      </c>
      <c r="P310" t="s">
        <v>31</v>
      </c>
      <c r="Q310" t="s">
        <v>13</v>
      </c>
      <c r="R310" t="s">
        <v>50</v>
      </c>
      <c r="S310">
        <v>2</v>
      </c>
      <c r="T310" s="3">
        <v>35</v>
      </c>
      <c r="U310" s="3">
        <v>5</v>
      </c>
      <c r="V310" s="3">
        <v>46197</v>
      </c>
      <c r="W310" s="3">
        <v>46198</v>
      </c>
      <c r="X310" t="s">
        <v>24</v>
      </c>
    </row>
    <row r="311" spans="1:24" hidden="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>
        <v>1310</v>
      </c>
      <c r="M311" t="s">
        <v>49</v>
      </c>
      <c r="N311">
        <v>1310</v>
      </c>
      <c r="O311" t="s">
        <v>49</v>
      </c>
      <c r="P311" t="s">
        <v>17</v>
      </c>
      <c r="Q311" t="s">
        <v>18</v>
      </c>
      <c r="R311" t="s">
        <v>56</v>
      </c>
      <c r="S311">
        <v>19</v>
      </c>
      <c r="T311" s="3">
        <v>12691</v>
      </c>
      <c r="U311" s="3">
        <v>0</v>
      </c>
      <c r="V311" s="3">
        <v>46181</v>
      </c>
      <c r="W311" s="3">
        <v>46189</v>
      </c>
      <c r="X311" t="s">
        <v>29</v>
      </c>
    </row>
    <row r="312" spans="1:24" hidden="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>
        <v>1311</v>
      </c>
      <c r="M312" t="s">
        <v>55</v>
      </c>
      <c r="N312">
        <v>1311</v>
      </c>
      <c r="O312" t="s">
        <v>55</v>
      </c>
      <c r="P312" t="s">
        <v>12</v>
      </c>
      <c r="Q312" t="s">
        <v>13</v>
      </c>
      <c r="R312" t="s">
        <v>14</v>
      </c>
      <c r="S312">
        <v>2</v>
      </c>
      <c r="T312" s="3">
        <v>209</v>
      </c>
      <c r="U312" s="3">
        <v>0</v>
      </c>
      <c r="V312" s="3">
        <v>46173</v>
      </c>
      <c r="W312" s="3">
        <v>46176</v>
      </c>
      <c r="X312" t="s">
        <v>20</v>
      </c>
    </row>
    <row r="313" spans="1:24" hidden="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>
        <v>1312</v>
      </c>
      <c r="M313" t="s">
        <v>57</v>
      </c>
      <c r="N313">
        <v>1312</v>
      </c>
      <c r="O313" t="s">
        <v>57</v>
      </c>
      <c r="P313" t="s">
        <v>22</v>
      </c>
      <c r="Q313" t="s">
        <v>18</v>
      </c>
      <c r="R313" t="s">
        <v>56</v>
      </c>
      <c r="S313">
        <v>20</v>
      </c>
      <c r="T313" s="3">
        <v>3274</v>
      </c>
      <c r="U313" s="3">
        <v>2</v>
      </c>
      <c r="V313" s="3">
        <v>46148</v>
      </c>
      <c r="W313" s="3">
        <v>46156</v>
      </c>
      <c r="X313" t="s">
        <v>24</v>
      </c>
    </row>
    <row r="314" spans="1:24" hidden="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>
        <v>1313</v>
      </c>
      <c r="M314" t="s">
        <v>59</v>
      </c>
      <c r="N314">
        <v>1313</v>
      </c>
      <c r="O314" t="s">
        <v>59</v>
      </c>
      <c r="P314" t="s">
        <v>22</v>
      </c>
      <c r="Q314" t="s">
        <v>18</v>
      </c>
      <c r="R314" t="s">
        <v>56</v>
      </c>
      <c r="S314">
        <v>6</v>
      </c>
      <c r="T314" s="3">
        <v>10864</v>
      </c>
      <c r="U314" s="3">
        <v>10</v>
      </c>
      <c r="V314" s="3">
        <v>46041</v>
      </c>
      <c r="W314" s="3">
        <v>46049</v>
      </c>
      <c r="X314" t="s">
        <v>15</v>
      </c>
    </row>
    <row r="315" spans="1:24" hidden="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>
        <v>1314</v>
      </c>
      <c r="M315" t="s">
        <v>52</v>
      </c>
      <c r="N315">
        <v>1314</v>
      </c>
      <c r="O315" t="s">
        <v>52</v>
      </c>
      <c r="P315" t="s">
        <v>33</v>
      </c>
      <c r="Q315" t="s">
        <v>18</v>
      </c>
      <c r="R315" t="s">
        <v>19</v>
      </c>
      <c r="S315">
        <v>10</v>
      </c>
      <c r="T315" s="3">
        <v>6328</v>
      </c>
      <c r="U315" s="3">
        <v>2</v>
      </c>
      <c r="V315" s="3">
        <v>46196</v>
      </c>
      <c r="W315" s="3">
        <v>46197</v>
      </c>
      <c r="X315" t="s">
        <v>29</v>
      </c>
    </row>
    <row r="316" spans="1:24" hidden="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T316" s="3"/>
      <c r="U316" s="3"/>
      <c r="V316" s="3"/>
      <c r="W316" s="3"/>
    </row>
    <row r="317" spans="1:24" hidden="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>
        <v>1316</v>
      </c>
      <c r="M317" t="s">
        <v>46</v>
      </c>
      <c r="N317">
        <v>1316</v>
      </c>
      <c r="O317" t="s">
        <v>46</v>
      </c>
      <c r="P317" t="s">
        <v>12</v>
      </c>
      <c r="Q317" t="s">
        <v>18</v>
      </c>
      <c r="R317" t="s">
        <v>28</v>
      </c>
      <c r="S317">
        <v>7</v>
      </c>
      <c r="T317" s="3">
        <v>9838</v>
      </c>
      <c r="U317" s="3">
        <v>7</v>
      </c>
      <c r="V317" s="3">
        <v>46078</v>
      </c>
      <c r="W317" s="3">
        <v>46085</v>
      </c>
      <c r="X317" t="s">
        <v>20</v>
      </c>
    </row>
    <row r="318" spans="1:24" hidden="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T318" s="3"/>
      <c r="U318" s="3"/>
      <c r="V318" s="3"/>
      <c r="W318" s="3"/>
    </row>
    <row r="319" spans="1:24" hidden="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>
        <v>1318</v>
      </c>
      <c r="M319" t="s">
        <v>11</v>
      </c>
      <c r="N319">
        <v>1318</v>
      </c>
      <c r="O319" t="s">
        <v>11</v>
      </c>
      <c r="P319" t="s">
        <v>43</v>
      </c>
      <c r="Q319" t="s">
        <v>13</v>
      </c>
      <c r="R319" t="s">
        <v>50</v>
      </c>
      <c r="S319">
        <v>4</v>
      </c>
      <c r="T319" s="3">
        <v>38</v>
      </c>
      <c r="U319" s="3">
        <v>12</v>
      </c>
      <c r="V319" s="3">
        <v>46169</v>
      </c>
      <c r="W319" s="3">
        <v>46175</v>
      </c>
      <c r="X319" t="s">
        <v>29</v>
      </c>
    </row>
    <row r="320" spans="1:24" hidden="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T320" s="3"/>
      <c r="U320" s="3"/>
      <c r="V320" s="3"/>
      <c r="W320" s="3"/>
    </row>
    <row r="321" spans="1:24" hidden="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>
        <v>1320</v>
      </c>
      <c r="M321" t="s">
        <v>47</v>
      </c>
      <c r="N321">
        <v>1320</v>
      </c>
      <c r="O321" t="s">
        <v>47</v>
      </c>
      <c r="P321" t="s">
        <v>38</v>
      </c>
      <c r="Q321" t="s">
        <v>13</v>
      </c>
      <c r="R321" t="s">
        <v>36</v>
      </c>
      <c r="S321">
        <v>20</v>
      </c>
      <c r="T321" s="3">
        <v>55</v>
      </c>
      <c r="U321" s="3">
        <v>7</v>
      </c>
      <c r="V321" s="3">
        <v>46183</v>
      </c>
      <c r="W321" s="3">
        <v>46186</v>
      </c>
      <c r="X321" t="s">
        <v>20</v>
      </c>
    </row>
    <row r="322" spans="1:24" hidden="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>
        <v>1321</v>
      </c>
      <c r="M322" t="s">
        <v>32</v>
      </c>
      <c r="N322">
        <v>1321</v>
      </c>
      <c r="O322" t="s">
        <v>32</v>
      </c>
      <c r="P322" t="s">
        <v>22</v>
      </c>
      <c r="Q322" t="s">
        <v>18</v>
      </c>
      <c r="R322" t="s">
        <v>19</v>
      </c>
      <c r="S322">
        <v>8</v>
      </c>
      <c r="T322" s="3">
        <v>5619</v>
      </c>
      <c r="U322" s="3">
        <v>7</v>
      </c>
      <c r="V322" s="3">
        <v>46107</v>
      </c>
      <c r="W322" s="3">
        <v>46109</v>
      </c>
      <c r="X322" t="s">
        <v>51</v>
      </c>
    </row>
    <row r="323" spans="1:24" hidden="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>
        <v>1322</v>
      </c>
      <c r="M323" t="s">
        <v>27</v>
      </c>
      <c r="N323">
        <v>1322</v>
      </c>
      <c r="O323" t="s">
        <v>27</v>
      </c>
      <c r="P323" t="s">
        <v>12</v>
      </c>
      <c r="Q323" t="s">
        <v>18</v>
      </c>
      <c r="R323" t="s">
        <v>23</v>
      </c>
      <c r="S323">
        <v>14</v>
      </c>
      <c r="T323" s="3">
        <v>9081</v>
      </c>
      <c r="U323" s="3">
        <v>15</v>
      </c>
      <c r="V323" s="3">
        <v>46141</v>
      </c>
      <c r="W323" s="3">
        <v>46146</v>
      </c>
      <c r="X323" t="s">
        <v>15</v>
      </c>
    </row>
    <row r="324" spans="1:24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T324" s="3"/>
      <c r="U324" s="3"/>
      <c r="V324" s="3"/>
      <c r="W324" s="3"/>
    </row>
    <row r="325" spans="1:24" hidden="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>
        <v>1324</v>
      </c>
      <c r="M325" t="s">
        <v>32</v>
      </c>
      <c r="N325">
        <v>1324</v>
      </c>
      <c r="O325" t="s">
        <v>32</v>
      </c>
      <c r="P325" t="s">
        <v>22</v>
      </c>
      <c r="Q325" t="s">
        <v>18</v>
      </c>
      <c r="R325" t="s">
        <v>19</v>
      </c>
      <c r="S325">
        <v>1</v>
      </c>
      <c r="T325" s="3">
        <v>4286</v>
      </c>
      <c r="U325" s="3">
        <v>15</v>
      </c>
      <c r="V325" s="3">
        <v>46053</v>
      </c>
      <c r="W325" s="3">
        <v>46056</v>
      </c>
      <c r="X325" t="s">
        <v>20</v>
      </c>
    </row>
    <row r="326" spans="1:24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T326" s="3"/>
      <c r="U326" s="3"/>
      <c r="V326" s="3"/>
      <c r="W326" s="3"/>
    </row>
    <row r="327" spans="1:24" hidden="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>
        <v>1326</v>
      </c>
      <c r="M327" t="s">
        <v>26</v>
      </c>
      <c r="N327">
        <v>1326</v>
      </c>
      <c r="O327" t="s">
        <v>26</v>
      </c>
      <c r="P327" t="s">
        <v>17</v>
      </c>
      <c r="Q327" t="s">
        <v>18</v>
      </c>
      <c r="R327" t="s">
        <v>44</v>
      </c>
      <c r="S327">
        <v>18</v>
      </c>
      <c r="T327" s="3">
        <v>1830</v>
      </c>
      <c r="U327" s="3">
        <v>10</v>
      </c>
      <c r="V327" s="3">
        <v>46165</v>
      </c>
      <c r="W327" s="3">
        <v>46172</v>
      </c>
      <c r="X327" t="s">
        <v>15</v>
      </c>
    </row>
    <row r="328" spans="1:24" hidden="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>
        <v>1327</v>
      </c>
      <c r="M328" t="s">
        <v>48</v>
      </c>
      <c r="N328">
        <v>1327</v>
      </c>
      <c r="O328" t="s">
        <v>48</v>
      </c>
      <c r="P328" t="s">
        <v>12</v>
      </c>
      <c r="Q328" t="s">
        <v>13</v>
      </c>
      <c r="R328" t="s">
        <v>53</v>
      </c>
      <c r="S328">
        <v>15</v>
      </c>
      <c r="T328" s="3">
        <v>449</v>
      </c>
      <c r="U328" s="3">
        <v>5</v>
      </c>
      <c r="V328" s="3">
        <v>46152</v>
      </c>
      <c r="W328" s="3">
        <v>46153</v>
      </c>
      <c r="X328" t="s">
        <v>15</v>
      </c>
    </row>
    <row r="329" spans="1:24" hidden="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>
        <v>1328</v>
      </c>
      <c r="M329" t="s">
        <v>16</v>
      </c>
      <c r="N329">
        <v>1328</v>
      </c>
      <c r="O329" t="s">
        <v>16</v>
      </c>
      <c r="P329" t="s">
        <v>38</v>
      </c>
      <c r="Q329" t="s">
        <v>13</v>
      </c>
      <c r="R329" t="s">
        <v>36</v>
      </c>
      <c r="S329">
        <v>4</v>
      </c>
      <c r="T329" s="3">
        <v>132</v>
      </c>
      <c r="U329" s="3">
        <v>0</v>
      </c>
      <c r="V329" s="3">
        <v>46109</v>
      </c>
      <c r="W329" s="3">
        <v>46114</v>
      </c>
      <c r="X329" t="s">
        <v>29</v>
      </c>
    </row>
    <row r="330" spans="1:24" hidden="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>
        <v>1329</v>
      </c>
      <c r="M330" t="s">
        <v>30</v>
      </c>
      <c r="N330">
        <v>1329</v>
      </c>
      <c r="O330" t="s">
        <v>30</v>
      </c>
      <c r="P330" t="s">
        <v>43</v>
      </c>
      <c r="Q330" t="s">
        <v>13</v>
      </c>
      <c r="R330" t="s">
        <v>53</v>
      </c>
      <c r="S330">
        <v>18</v>
      </c>
      <c r="T330" s="3">
        <v>227</v>
      </c>
      <c r="U330" s="3">
        <v>5</v>
      </c>
      <c r="V330" s="3">
        <v>46126</v>
      </c>
      <c r="W330" s="3">
        <v>46136</v>
      </c>
      <c r="X330" t="s">
        <v>29</v>
      </c>
    </row>
    <row r="331" spans="1:24" hidden="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>
        <v>1330</v>
      </c>
      <c r="M331" t="s">
        <v>49</v>
      </c>
      <c r="N331">
        <v>1330</v>
      </c>
      <c r="O331" t="s">
        <v>49</v>
      </c>
      <c r="P331" t="s">
        <v>17</v>
      </c>
      <c r="Q331" t="s">
        <v>18</v>
      </c>
      <c r="R331" t="s">
        <v>19</v>
      </c>
      <c r="S331">
        <v>13</v>
      </c>
      <c r="T331" s="3">
        <v>12071</v>
      </c>
      <c r="U331" s="3">
        <v>0</v>
      </c>
      <c r="V331" s="3">
        <v>46032</v>
      </c>
      <c r="W331" s="3">
        <v>46036</v>
      </c>
      <c r="X331" t="s">
        <v>51</v>
      </c>
    </row>
    <row r="332" spans="1:24" hidden="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T332" s="3"/>
      <c r="U332" s="3"/>
      <c r="V332" s="3"/>
      <c r="W332" s="3"/>
    </row>
    <row r="333" spans="1:24" hidden="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>
        <v>1332</v>
      </c>
      <c r="M333" t="s">
        <v>29</v>
      </c>
      <c r="N333">
        <v>1332</v>
      </c>
      <c r="O333" t="s">
        <v>29</v>
      </c>
      <c r="P333" t="s">
        <v>43</v>
      </c>
      <c r="Q333" t="s">
        <v>13</v>
      </c>
      <c r="R333" t="s">
        <v>50</v>
      </c>
      <c r="S333">
        <v>7</v>
      </c>
      <c r="T333" s="3">
        <v>439</v>
      </c>
      <c r="U333" s="3">
        <v>2</v>
      </c>
      <c r="V333" s="3">
        <v>46154</v>
      </c>
      <c r="W333" s="3">
        <v>46157</v>
      </c>
      <c r="X333" t="s">
        <v>15</v>
      </c>
    </row>
    <row r="334" spans="1:24" hidden="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>
        <v>1333</v>
      </c>
      <c r="M334" t="s">
        <v>29</v>
      </c>
      <c r="N334">
        <v>1333</v>
      </c>
      <c r="O334" t="s">
        <v>29</v>
      </c>
      <c r="P334" t="s">
        <v>38</v>
      </c>
      <c r="Q334" t="s">
        <v>13</v>
      </c>
      <c r="R334" t="s">
        <v>53</v>
      </c>
      <c r="S334">
        <v>20</v>
      </c>
      <c r="T334" s="3">
        <v>416</v>
      </c>
      <c r="U334" s="3">
        <v>12</v>
      </c>
      <c r="V334" s="3">
        <v>46145</v>
      </c>
      <c r="W334" s="3">
        <v>46146</v>
      </c>
      <c r="X334" t="s">
        <v>51</v>
      </c>
    </row>
    <row r="335" spans="1:24" hidden="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T335" s="3"/>
      <c r="U335" s="3"/>
      <c r="V335" s="3"/>
      <c r="W335" s="3"/>
    </row>
    <row r="336" spans="1:24" hidden="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>
        <v>1335</v>
      </c>
      <c r="M336" t="s">
        <v>47</v>
      </c>
      <c r="N336">
        <v>1335</v>
      </c>
      <c r="O336" t="s">
        <v>47</v>
      </c>
      <c r="P336" t="s">
        <v>17</v>
      </c>
      <c r="Q336" t="s">
        <v>18</v>
      </c>
      <c r="R336" t="s">
        <v>19</v>
      </c>
      <c r="S336">
        <v>9</v>
      </c>
      <c r="T336" s="3">
        <v>1495</v>
      </c>
      <c r="U336" s="3">
        <v>12</v>
      </c>
      <c r="V336" s="3">
        <v>46168</v>
      </c>
      <c r="W336" s="3">
        <v>46173</v>
      </c>
      <c r="X336" t="s">
        <v>15</v>
      </c>
    </row>
    <row r="337" spans="1:24" hidden="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>
        <v>1336</v>
      </c>
      <c r="M337" t="s">
        <v>16</v>
      </c>
      <c r="N337">
        <v>1336</v>
      </c>
      <c r="O337" t="s">
        <v>16</v>
      </c>
      <c r="P337" t="s">
        <v>25</v>
      </c>
      <c r="Q337" t="s">
        <v>18</v>
      </c>
      <c r="R337" t="s">
        <v>56</v>
      </c>
      <c r="S337">
        <v>10</v>
      </c>
      <c r="T337" s="3">
        <v>5624</v>
      </c>
      <c r="U337" s="3">
        <v>0</v>
      </c>
      <c r="V337" s="3">
        <v>46086</v>
      </c>
      <c r="W337" s="3">
        <v>46092</v>
      </c>
      <c r="X337" t="s">
        <v>29</v>
      </c>
    </row>
    <row r="338" spans="1:24" hidden="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>
        <v>1337</v>
      </c>
      <c r="M338" t="s">
        <v>16</v>
      </c>
      <c r="N338">
        <v>1337</v>
      </c>
      <c r="O338" t="s">
        <v>16</v>
      </c>
      <c r="P338" t="s">
        <v>12</v>
      </c>
      <c r="Q338" t="s">
        <v>13</v>
      </c>
      <c r="R338" t="s">
        <v>53</v>
      </c>
      <c r="S338">
        <v>14</v>
      </c>
      <c r="T338" s="3">
        <v>373</v>
      </c>
      <c r="U338" s="3">
        <v>10</v>
      </c>
      <c r="V338" s="3">
        <v>46074</v>
      </c>
      <c r="W338" s="3">
        <v>46080</v>
      </c>
      <c r="X338" t="s">
        <v>29</v>
      </c>
    </row>
    <row r="339" spans="1:24" hidden="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T339" s="3"/>
      <c r="U339" s="3"/>
      <c r="V339" s="3"/>
      <c r="W339" s="3"/>
    </row>
    <row r="340" spans="1:24" hidden="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>
        <v>1339</v>
      </c>
      <c r="M340" t="s">
        <v>32</v>
      </c>
      <c r="N340">
        <v>1339</v>
      </c>
      <c r="O340" t="s">
        <v>32</v>
      </c>
      <c r="P340" t="s">
        <v>25</v>
      </c>
      <c r="Q340" t="s">
        <v>13</v>
      </c>
      <c r="R340" t="s">
        <v>14</v>
      </c>
      <c r="S340">
        <v>6</v>
      </c>
      <c r="T340" s="3">
        <v>302</v>
      </c>
      <c r="U340" s="3">
        <v>5</v>
      </c>
      <c r="V340" s="3">
        <v>46142</v>
      </c>
      <c r="W340" s="3">
        <v>46148</v>
      </c>
      <c r="X340" t="s">
        <v>20</v>
      </c>
    </row>
    <row r="341" spans="1:24" hidden="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>
        <v>1340</v>
      </c>
      <c r="M341" t="s">
        <v>48</v>
      </c>
      <c r="N341">
        <v>1340</v>
      </c>
      <c r="O341" t="s">
        <v>48</v>
      </c>
      <c r="P341" t="s">
        <v>17</v>
      </c>
      <c r="Q341" t="s">
        <v>18</v>
      </c>
      <c r="R341" t="s">
        <v>19</v>
      </c>
      <c r="S341">
        <v>12</v>
      </c>
      <c r="T341" s="3">
        <v>3857</v>
      </c>
      <c r="U341" s="3">
        <v>12</v>
      </c>
      <c r="V341" s="3">
        <v>46196</v>
      </c>
      <c r="W341" s="3">
        <v>46198</v>
      </c>
      <c r="X341" t="s">
        <v>51</v>
      </c>
    </row>
    <row r="342" spans="1:24" hidden="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>
        <v>1341</v>
      </c>
      <c r="M342" t="s">
        <v>57</v>
      </c>
      <c r="N342">
        <v>1341</v>
      </c>
      <c r="O342" t="s">
        <v>57</v>
      </c>
      <c r="P342" t="s">
        <v>38</v>
      </c>
      <c r="Q342" t="s">
        <v>18</v>
      </c>
      <c r="R342" t="s">
        <v>19</v>
      </c>
      <c r="S342">
        <v>19</v>
      </c>
      <c r="T342" s="3">
        <v>6488</v>
      </c>
      <c r="U342" s="3">
        <v>15</v>
      </c>
      <c r="V342" s="3">
        <v>46026</v>
      </c>
      <c r="W342" s="3">
        <v>46030</v>
      </c>
      <c r="X342" t="s">
        <v>20</v>
      </c>
    </row>
    <row r="343" spans="1:24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T343" s="3"/>
      <c r="U343" s="3"/>
      <c r="V343" s="3"/>
      <c r="W343" s="3"/>
    </row>
    <row r="344" spans="1:24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T344" s="3"/>
      <c r="U344" s="3"/>
      <c r="V344" s="3"/>
      <c r="W344" s="3"/>
    </row>
    <row r="345" spans="1:24" hidden="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>
        <v>1344</v>
      </c>
      <c r="M345" t="s">
        <v>30</v>
      </c>
      <c r="N345">
        <v>1344</v>
      </c>
      <c r="O345" t="s">
        <v>30</v>
      </c>
      <c r="P345" t="s">
        <v>17</v>
      </c>
      <c r="Q345" t="s">
        <v>13</v>
      </c>
      <c r="R345" t="s">
        <v>53</v>
      </c>
      <c r="S345">
        <v>18</v>
      </c>
      <c r="T345" s="3">
        <v>240</v>
      </c>
      <c r="U345" s="3">
        <v>10</v>
      </c>
      <c r="V345" s="3">
        <v>46155</v>
      </c>
      <c r="W345" s="3">
        <v>46156</v>
      </c>
      <c r="X345" t="s">
        <v>24</v>
      </c>
    </row>
    <row r="346" spans="1:24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T346" s="3"/>
      <c r="U346" s="3"/>
      <c r="V346" s="3"/>
      <c r="W346" s="3"/>
    </row>
    <row r="347" spans="1:24" hidden="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>
        <v>1346</v>
      </c>
      <c r="M347" t="s">
        <v>32</v>
      </c>
      <c r="N347">
        <v>1346</v>
      </c>
      <c r="O347" t="s">
        <v>32</v>
      </c>
      <c r="P347" t="s">
        <v>22</v>
      </c>
      <c r="Q347" t="s">
        <v>18</v>
      </c>
      <c r="R347" t="s">
        <v>19</v>
      </c>
      <c r="S347">
        <v>16</v>
      </c>
      <c r="T347" s="3">
        <v>6910</v>
      </c>
      <c r="U347" s="3">
        <v>15</v>
      </c>
      <c r="V347" s="3">
        <v>46140</v>
      </c>
      <c r="W347" s="3">
        <v>46142</v>
      </c>
      <c r="X347" t="s">
        <v>29</v>
      </c>
    </row>
    <row r="348" spans="1:24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T348" s="3"/>
      <c r="U348" s="3"/>
      <c r="V348" s="3"/>
      <c r="W348" s="3"/>
    </row>
    <row r="349" spans="1:24" hidden="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>
        <v>1348</v>
      </c>
      <c r="M349" t="s">
        <v>11</v>
      </c>
      <c r="N349">
        <v>1348</v>
      </c>
      <c r="O349" t="s">
        <v>11</v>
      </c>
      <c r="P349" t="s">
        <v>33</v>
      </c>
      <c r="Q349" t="s">
        <v>13</v>
      </c>
      <c r="R349" t="s">
        <v>50</v>
      </c>
      <c r="S349">
        <v>12</v>
      </c>
      <c r="T349" s="3">
        <v>244</v>
      </c>
      <c r="U349" s="3">
        <v>7</v>
      </c>
      <c r="V349" s="3">
        <v>46048</v>
      </c>
      <c r="W349" s="3">
        <v>46053</v>
      </c>
      <c r="X349" t="s">
        <v>15</v>
      </c>
    </row>
    <row r="350" spans="1:24" hidden="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T350" s="3"/>
      <c r="U350" s="3"/>
      <c r="V350" s="3"/>
      <c r="W350" s="3"/>
    </row>
    <row r="351" spans="1:24" hidden="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>
        <v>1350</v>
      </c>
      <c r="M351" t="s">
        <v>26</v>
      </c>
      <c r="N351">
        <v>1350</v>
      </c>
      <c r="O351" t="s">
        <v>26</v>
      </c>
      <c r="P351" t="s">
        <v>43</v>
      </c>
      <c r="Q351" t="s">
        <v>18</v>
      </c>
      <c r="R351" t="s">
        <v>28</v>
      </c>
      <c r="S351">
        <v>16</v>
      </c>
      <c r="T351" s="3">
        <v>11790</v>
      </c>
      <c r="U351" s="3">
        <v>12</v>
      </c>
      <c r="V351" s="3">
        <v>46185</v>
      </c>
      <c r="W351" s="3">
        <v>46190</v>
      </c>
      <c r="X351" t="s">
        <v>29</v>
      </c>
    </row>
    <row r="352" spans="1:24" hidden="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T352" s="3"/>
      <c r="U352" s="3"/>
      <c r="V352" s="3"/>
      <c r="W352" s="3"/>
    </row>
    <row r="353" spans="1:24" hidden="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>
        <v>1352</v>
      </c>
      <c r="M353" t="s">
        <v>54</v>
      </c>
      <c r="N353">
        <v>1352</v>
      </c>
      <c r="O353" t="s">
        <v>54</v>
      </c>
      <c r="P353" t="s">
        <v>22</v>
      </c>
      <c r="Q353" t="s">
        <v>13</v>
      </c>
      <c r="R353" t="s">
        <v>14</v>
      </c>
      <c r="S353">
        <v>12</v>
      </c>
      <c r="T353" s="3">
        <v>203</v>
      </c>
      <c r="U353" s="3">
        <v>5</v>
      </c>
      <c r="V353" s="3">
        <v>46024</v>
      </c>
      <c r="W353" s="3">
        <v>46033</v>
      </c>
      <c r="X353" t="s">
        <v>15</v>
      </c>
    </row>
    <row r="354" spans="1:24" hidden="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>
        <v>1353</v>
      </c>
      <c r="M354" t="s">
        <v>47</v>
      </c>
      <c r="N354">
        <v>1353</v>
      </c>
      <c r="O354" t="s">
        <v>47</v>
      </c>
      <c r="P354" t="s">
        <v>43</v>
      </c>
      <c r="Q354" t="s">
        <v>13</v>
      </c>
      <c r="R354" t="s">
        <v>14</v>
      </c>
      <c r="S354">
        <v>6</v>
      </c>
      <c r="T354" s="3">
        <v>495</v>
      </c>
      <c r="U354" s="3">
        <v>2</v>
      </c>
      <c r="V354" s="3">
        <v>46194</v>
      </c>
      <c r="W354" s="3">
        <v>46200</v>
      </c>
      <c r="X354" t="s">
        <v>24</v>
      </c>
    </row>
    <row r="355" spans="1:24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T355" s="3"/>
      <c r="U355" s="3"/>
      <c r="V355" s="3"/>
      <c r="W355" s="3"/>
    </row>
    <row r="356" spans="1:24" hidden="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T356" s="3"/>
      <c r="U356" s="3"/>
      <c r="V356" s="3"/>
      <c r="W356" s="3"/>
    </row>
    <row r="357" spans="1:24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T357" s="3"/>
      <c r="U357" s="3"/>
      <c r="V357" s="3"/>
      <c r="W357" s="3"/>
    </row>
    <row r="358" spans="1:24" hidden="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>
        <v>1357</v>
      </c>
      <c r="M358" t="s">
        <v>59</v>
      </c>
      <c r="N358">
        <v>1357</v>
      </c>
      <c r="O358" t="s">
        <v>59</v>
      </c>
      <c r="P358" t="s">
        <v>25</v>
      </c>
      <c r="Q358" t="s">
        <v>13</v>
      </c>
      <c r="R358" t="s">
        <v>37</v>
      </c>
      <c r="S358">
        <v>6</v>
      </c>
      <c r="T358" s="3">
        <v>365</v>
      </c>
      <c r="U358" s="3">
        <v>7</v>
      </c>
      <c r="V358" s="3">
        <v>46133</v>
      </c>
      <c r="W358" s="3">
        <v>46140</v>
      </c>
      <c r="X358" t="s">
        <v>51</v>
      </c>
    </row>
    <row r="359" spans="1:24" hidden="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>
        <v>1358</v>
      </c>
      <c r="M359" t="s">
        <v>40</v>
      </c>
      <c r="N359">
        <v>1358</v>
      </c>
      <c r="O359" t="s">
        <v>40</v>
      </c>
      <c r="P359" t="s">
        <v>38</v>
      </c>
      <c r="Q359" t="s">
        <v>18</v>
      </c>
      <c r="R359" t="s">
        <v>19</v>
      </c>
      <c r="S359">
        <v>7</v>
      </c>
      <c r="T359" s="3">
        <v>6618</v>
      </c>
      <c r="U359" s="3">
        <v>0</v>
      </c>
      <c r="V359" s="3">
        <v>46127</v>
      </c>
      <c r="W359" s="3">
        <v>46129</v>
      </c>
      <c r="X359" t="s">
        <v>20</v>
      </c>
    </row>
    <row r="360" spans="1:24" hidden="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T360" s="3"/>
      <c r="U360" s="3"/>
      <c r="V360" s="3"/>
      <c r="W360" s="3"/>
    </row>
    <row r="361" spans="1:24" hidden="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>
        <v>1360</v>
      </c>
      <c r="M361" t="s">
        <v>11</v>
      </c>
      <c r="N361">
        <v>1360</v>
      </c>
      <c r="O361" t="s">
        <v>11</v>
      </c>
      <c r="P361" t="s">
        <v>43</v>
      </c>
      <c r="Q361" t="s">
        <v>18</v>
      </c>
      <c r="R361" t="s">
        <v>23</v>
      </c>
      <c r="S361">
        <v>19</v>
      </c>
      <c r="T361" s="3">
        <v>6681</v>
      </c>
      <c r="U361" s="3">
        <v>2</v>
      </c>
      <c r="V361" s="3">
        <v>46146</v>
      </c>
      <c r="W361" s="3">
        <v>46150</v>
      </c>
      <c r="X361" t="s">
        <v>15</v>
      </c>
    </row>
    <row r="362" spans="1:24" hidden="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>
        <v>1361</v>
      </c>
      <c r="M362" t="s">
        <v>42</v>
      </c>
      <c r="N362">
        <v>1361</v>
      </c>
      <c r="O362" t="s">
        <v>42</v>
      </c>
      <c r="P362" t="s">
        <v>17</v>
      </c>
      <c r="Q362" t="s">
        <v>18</v>
      </c>
      <c r="R362" t="s">
        <v>23</v>
      </c>
      <c r="S362">
        <v>2</v>
      </c>
      <c r="T362" s="3">
        <v>1822</v>
      </c>
      <c r="U362" s="3">
        <v>5</v>
      </c>
      <c r="V362" s="3">
        <v>46141</v>
      </c>
      <c r="W362" s="3">
        <v>46145</v>
      </c>
      <c r="X362" t="s">
        <v>20</v>
      </c>
    </row>
    <row r="363" spans="1:24" hidden="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>
        <v>1362</v>
      </c>
      <c r="M363" t="s">
        <v>16</v>
      </c>
      <c r="N363">
        <v>1362</v>
      </c>
      <c r="O363" t="s">
        <v>16</v>
      </c>
      <c r="P363" t="s">
        <v>12</v>
      </c>
      <c r="Q363" t="s">
        <v>18</v>
      </c>
      <c r="R363" t="s">
        <v>28</v>
      </c>
      <c r="S363">
        <v>1</v>
      </c>
      <c r="T363" s="3">
        <v>10474</v>
      </c>
      <c r="U363" s="3">
        <v>0</v>
      </c>
      <c r="V363" s="3">
        <v>46094</v>
      </c>
      <c r="W363" s="3">
        <v>46096</v>
      </c>
      <c r="X363" t="s">
        <v>29</v>
      </c>
    </row>
    <row r="364" spans="1:24" hidden="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T364" s="3"/>
      <c r="U364" s="3"/>
      <c r="V364" s="3"/>
      <c r="W364" s="3"/>
    </row>
    <row r="365" spans="1:24" hidden="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>
        <v>1364</v>
      </c>
      <c r="M365" t="s">
        <v>30</v>
      </c>
      <c r="N365">
        <v>1364</v>
      </c>
      <c r="O365" t="s">
        <v>30</v>
      </c>
      <c r="P365" t="s">
        <v>22</v>
      </c>
      <c r="Q365" t="s">
        <v>18</v>
      </c>
      <c r="R365" t="s">
        <v>56</v>
      </c>
      <c r="S365">
        <v>16</v>
      </c>
      <c r="T365" s="3">
        <v>1744</v>
      </c>
      <c r="U365" s="3">
        <v>15</v>
      </c>
      <c r="V365" s="3">
        <v>46031</v>
      </c>
      <c r="W365" s="3">
        <v>46033</v>
      </c>
      <c r="X365" t="s">
        <v>51</v>
      </c>
    </row>
    <row r="366" spans="1:24" hidden="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>
        <v>1365</v>
      </c>
      <c r="M366" t="s">
        <v>46</v>
      </c>
      <c r="N366">
        <v>1365</v>
      </c>
      <c r="O366" t="s">
        <v>46</v>
      </c>
      <c r="P366" t="s">
        <v>33</v>
      </c>
      <c r="Q366" t="s">
        <v>13</v>
      </c>
      <c r="R366" t="s">
        <v>50</v>
      </c>
      <c r="S366">
        <v>17</v>
      </c>
      <c r="T366" s="3">
        <v>119</v>
      </c>
      <c r="U366" s="3">
        <v>7</v>
      </c>
      <c r="V366" s="3">
        <v>46070</v>
      </c>
      <c r="W366" s="3">
        <v>46072</v>
      </c>
      <c r="X366" t="s">
        <v>20</v>
      </c>
    </row>
    <row r="367" spans="1:24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T367" s="3"/>
      <c r="U367" s="3"/>
      <c r="V367" s="3"/>
      <c r="W367" s="3"/>
    </row>
    <row r="368" spans="1:24" hidden="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>
        <v>1367</v>
      </c>
      <c r="M368" t="s">
        <v>54</v>
      </c>
      <c r="N368">
        <v>1367</v>
      </c>
      <c r="O368" t="s">
        <v>54</v>
      </c>
      <c r="P368" t="s">
        <v>25</v>
      </c>
      <c r="Q368" t="s">
        <v>13</v>
      </c>
      <c r="R368" t="s">
        <v>53</v>
      </c>
      <c r="S368">
        <v>1</v>
      </c>
      <c r="T368" s="3">
        <v>371</v>
      </c>
      <c r="U368" s="3">
        <v>5</v>
      </c>
      <c r="V368" s="3">
        <v>46158</v>
      </c>
      <c r="W368" s="3">
        <v>46168</v>
      </c>
      <c r="X368" t="s">
        <v>29</v>
      </c>
    </row>
    <row r="369" spans="1:24" hidden="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>
        <v>1368</v>
      </c>
      <c r="M369" t="s">
        <v>55</v>
      </c>
      <c r="N369">
        <v>1368</v>
      </c>
      <c r="O369" t="s">
        <v>55</v>
      </c>
      <c r="P369" t="s">
        <v>38</v>
      </c>
      <c r="Q369" t="s">
        <v>13</v>
      </c>
      <c r="R369" t="s">
        <v>36</v>
      </c>
      <c r="S369">
        <v>9</v>
      </c>
      <c r="T369" s="3">
        <v>115</v>
      </c>
      <c r="U369" s="3">
        <v>0</v>
      </c>
      <c r="V369" s="3">
        <v>46036</v>
      </c>
      <c r="W369" s="3">
        <v>46045</v>
      </c>
      <c r="X369" t="s">
        <v>24</v>
      </c>
    </row>
    <row r="370" spans="1:24" hidden="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>
        <v>1369</v>
      </c>
      <c r="M370" t="s">
        <v>57</v>
      </c>
      <c r="N370">
        <v>1369</v>
      </c>
      <c r="O370" t="s">
        <v>57</v>
      </c>
      <c r="P370" t="s">
        <v>25</v>
      </c>
      <c r="Q370" t="s">
        <v>18</v>
      </c>
      <c r="R370" t="s">
        <v>19</v>
      </c>
      <c r="S370">
        <v>19</v>
      </c>
      <c r="T370" s="3">
        <v>5840</v>
      </c>
      <c r="U370" s="3">
        <v>5</v>
      </c>
      <c r="V370" s="3">
        <v>46062</v>
      </c>
      <c r="W370" s="3">
        <v>46067</v>
      </c>
      <c r="X370" t="s">
        <v>15</v>
      </c>
    </row>
    <row r="371" spans="1:24" hidden="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>
        <v>1370</v>
      </c>
      <c r="M371" t="s">
        <v>59</v>
      </c>
      <c r="N371">
        <v>1370</v>
      </c>
      <c r="O371" t="s">
        <v>59</v>
      </c>
      <c r="P371" t="s">
        <v>38</v>
      </c>
      <c r="Q371" t="s">
        <v>13</v>
      </c>
      <c r="R371" t="s">
        <v>53</v>
      </c>
      <c r="S371">
        <v>13</v>
      </c>
      <c r="T371" s="3">
        <v>337</v>
      </c>
      <c r="U371" s="3">
        <v>7</v>
      </c>
      <c r="V371" s="3">
        <v>46184</v>
      </c>
      <c r="W371" s="3">
        <v>46188</v>
      </c>
      <c r="X371" t="s">
        <v>15</v>
      </c>
    </row>
    <row r="372" spans="1:24" hidden="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>
        <v>1371</v>
      </c>
      <c r="M372" t="s">
        <v>48</v>
      </c>
      <c r="N372">
        <v>1371</v>
      </c>
      <c r="O372" t="s">
        <v>48</v>
      </c>
      <c r="P372" t="s">
        <v>38</v>
      </c>
      <c r="Q372" t="s">
        <v>18</v>
      </c>
      <c r="R372" t="s">
        <v>19</v>
      </c>
      <c r="S372">
        <v>19</v>
      </c>
      <c r="T372" s="3">
        <v>1087</v>
      </c>
      <c r="U372" s="3">
        <v>15</v>
      </c>
      <c r="V372" s="3">
        <v>46072</v>
      </c>
      <c r="W372" s="3">
        <v>46082</v>
      </c>
      <c r="X372" t="s">
        <v>20</v>
      </c>
    </row>
    <row r="373" spans="1:24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T373" s="3"/>
      <c r="U373" s="3"/>
      <c r="V373" s="3"/>
      <c r="W373" s="3"/>
    </row>
    <row r="374" spans="1:24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T374" s="3"/>
      <c r="U374" s="3"/>
      <c r="V374" s="3"/>
      <c r="W374" s="3"/>
    </row>
    <row r="375" spans="1:24" hidden="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T375" s="3"/>
      <c r="U375" s="3"/>
      <c r="V375" s="3"/>
      <c r="W375" s="3"/>
    </row>
    <row r="376" spans="1:24" hidden="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T376" s="3"/>
      <c r="U376" s="3"/>
      <c r="V376" s="3"/>
      <c r="W376" s="3"/>
    </row>
    <row r="377" spans="1:24" hidden="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>
        <v>1376</v>
      </c>
      <c r="M377" t="s">
        <v>52</v>
      </c>
      <c r="N377">
        <v>1376</v>
      </c>
      <c r="O377" t="s">
        <v>52</v>
      </c>
      <c r="P377" t="s">
        <v>31</v>
      </c>
      <c r="Q377" t="s">
        <v>13</v>
      </c>
      <c r="R377" t="s">
        <v>50</v>
      </c>
      <c r="S377">
        <v>20</v>
      </c>
      <c r="T377" s="3">
        <v>429</v>
      </c>
      <c r="U377" s="3">
        <v>5</v>
      </c>
      <c r="V377" s="3">
        <v>46178</v>
      </c>
      <c r="W377" s="3">
        <v>46184</v>
      </c>
      <c r="X377" t="s">
        <v>20</v>
      </c>
    </row>
    <row r="378" spans="1:24" hidden="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>
        <v>1377</v>
      </c>
      <c r="M378" t="s">
        <v>32</v>
      </c>
      <c r="N378">
        <v>1377</v>
      </c>
      <c r="O378" t="s">
        <v>32</v>
      </c>
      <c r="P378" t="s">
        <v>38</v>
      </c>
      <c r="Q378" t="s">
        <v>18</v>
      </c>
      <c r="R378" t="s">
        <v>19</v>
      </c>
      <c r="S378">
        <v>3</v>
      </c>
      <c r="T378" s="3">
        <v>5480</v>
      </c>
      <c r="U378" s="3">
        <v>12</v>
      </c>
      <c r="V378" s="3">
        <v>46105</v>
      </c>
      <c r="W378" s="3">
        <v>46111</v>
      </c>
      <c r="X378" t="s">
        <v>24</v>
      </c>
    </row>
    <row r="379" spans="1:24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T379" s="3"/>
      <c r="U379" s="3"/>
      <c r="V379" s="3"/>
      <c r="W379" s="3"/>
    </row>
    <row r="380" spans="1:24" hidden="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>
        <v>1379</v>
      </c>
      <c r="M380" t="s">
        <v>47</v>
      </c>
      <c r="N380">
        <v>1379</v>
      </c>
      <c r="O380" t="s">
        <v>47</v>
      </c>
      <c r="P380" t="s">
        <v>17</v>
      </c>
      <c r="Q380" t="s">
        <v>13</v>
      </c>
      <c r="R380" t="s">
        <v>14</v>
      </c>
      <c r="S380">
        <v>11</v>
      </c>
      <c r="T380" s="3">
        <v>136</v>
      </c>
      <c r="U380" s="3">
        <v>15</v>
      </c>
      <c r="V380" s="3">
        <v>46106</v>
      </c>
      <c r="W380" s="3">
        <v>46107</v>
      </c>
      <c r="X380" t="s">
        <v>20</v>
      </c>
    </row>
    <row r="381" spans="1:24" hidden="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>
        <v>1380</v>
      </c>
      <c r="M381" t="s">
        <v>52</v>
      </c>
      <c r="N381">
        <v>1380</v>
      </c>
      <c r="O381" t="s">
        <v>52</v>
      </c>
      <c r="P381" t="s">
        <v>43</v>
      </c>
      <c r="Q381" t="s">
        <v>13</v>
      </c>
      <c r="R381" t="s">
        <v>53</v>
      </c>
      <c r="S381">
        <v>3</v>
      </c>
      <c r="T381" s="3">
        <v>412</v>
      </c>
      <c r="U381" s="3">
        <v>7</v>
      </c>
      <c r="V381" s="3">
        <v>46128</v>
      </c>
      <c r="W381" s="3">
        <v>46138</v>
      </c>
      <c r="X381" t="s">
        <v>24</v>
      </c>
    </row>
    <row r="382" spans="1:24" hidden="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>
        <v>1381</v>
      </c>
      <c r="M382" t="s">
        <v>55</v>
      </c>
      <c r="N382">
        <v>1381</v>
      </c>
      <c r="O382" t="s">
        <v>55</v>
      </c>
      <c r="P382" t="s">
        <v>33</v>
      </c>
      <c r="Q382" t="s">
        <v>18</v>
      </c>
      <c r="R382" t="s">
        <v>28</v>
      </c>
      <c r="S382">
        <v>5</v>
      </c>
      <c r="T382" s="3">
        <v>7484</v>
      </c>
      <c r="U382" s="3">
        <v>2</v>
      </c>
      <c r="V382" s="3">
        <v>46089</v>
      </c>
      <c r="W382" s="3">
        <v>46093</v>
      </c>
      <c r="X382" t="s">
        <v>20</v>
      </c>
    </row>
    <row r="383" spans="1:24" hidden="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T383" s="3"/>
      <c r="U383" s="3"/>
      <c r="V383" s="3"/>
      <c r="W383" s="3"/>
    </row>
    <row r="384" spans="1:24" hidden="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>
        <v>1383</v>
      </c>
      <c r="M384" t="s">
        <v>32</v>
      </c>
      <c r="N384">
        <v>1383</v>
      </c>
      <c r="O384" t="s">
        <v>32</v>
      </c>
      <c r="P384" t="s">
        <v>12</v>
      </c>
      <c r="Q384" t="s">
        <v>13</v>
      </c>
      <c r="R384" t="s">
        <v>53</v>
      </c>
      <c r="S384">
        <v>14</v>
      </c>
      <c r="T384" s="3">
        <v>334</v>
      </c>
      <c r="U384" s="3">
        <v>10</v>
      </c>
      <c r="V384" s="3">
        <v>46196</v>
      </c>
      <c r="W384" s="3">
        <v>46203</v>
      </c>
      <c r="X384" t="s">
        <v>15</v>
      </c>
    </row>
    <row r="385" spans="1:24" hidden="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T385" s="3"/>
      <c r="U385" s="3"/>
      <c r="V385" s="3"/>
      <c r="W385" s="3"/>
    </row>
    <row r="386" spans="1:24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T386" s="3"/>
      <c r="U386" s="3"/>
      <c r="V386" s="3"/>
      <c r="W386" s="3"/>
    </row>
    <row r="387" spans="1:24" hidden="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>
        <v>1386</v>
      </c>
      <c r="M387" t="s">
        <v>27</v>
      </c>
      <c r="N387">
        <v>1386</v>
      </c>
      <c r="O387" t="s">
        <v>27</v>
      </c>
      <c r="P387" t="s">
        <v>31</v>
      </c>
      <c r="Q387" t="s">
        <v>18</v>
      </c>
      <c r="R387" t="s">
        <v>28</v>
      </c>
      <c r="S387">
        <v>9</v>
      </c>
      <c r="T387" s="3">
        <v>7509</v>
      </c>
      <c r="U387" s="3">
        <v>5</v>
      </c>
      <c r="V387" s="3">
        <v>46162</v>
      </c>
      <c r="W387" s="3">
        <v>46171</v>
      </c>
      <c r="X387" t="s">
        <v>51</v>
      </c>
    </row>
    <row r="388" spans="1:24" hidden="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T388" s="3"/>
      <c r="U388" s="3"/>
      <c r="V388" s="3"/>
      <c r="W388" s="3"/>
    </row>
    <row r="389" spans="1:24" hidden="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>
        <v>1388</v>
      </c>
      <c r="M389" t="s">
        <v>55</v>
      </c>
      <c r="N389">
        <v>1388</v>
      </c>
      <c r="O389" t="s">
        <v>55</v>
      </c>
      <c r="P389" t="s">
        <v>31</v>
      </c>
      <c r="Q389" t="s">
        <v>18</v>
      </c>
      <c r="R389" t="s">
        <v>28</v>
      </c>
      <c r="S389">
        <v>12</v>
      </c>
      <c r="T389" s="3">
        <v>11662</v>
      </c>
      <c r="U389" s="3">
        <v>12</v>
      </c>
      <c r="V389" s="3">
        <v>46094</v>
      </c>
      <c r="W389" s="3">
        <v>46096</v>
      </c>
      <c r="X389" t="s">
        <v>20</v>
      </c>
    </row>
    <row r="390" spans="1:24" hidden="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T390" s="3"/>
      <c r="U390" s="3"/>
      <c r="V390" s="3"/>
      <c r="W390" s="3"/>
    </row>
    <row r="391" spans="1:24" hidden="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>
        <v>1390</v>
      </c>
      <c r="M391" t="s">
        <v>58</v>
      </c>
      <c r="N391">
        <v>1390</v>
      </c>
      <c r="O391" t="s">
        <v>58</v>
      </c>
      <c r="P391" t="s">
        <v>43</v>
      </c>
      <c r="Q391" t="s">
        <v>18</v>
      </c>
      <c r="R391" t="s">
        <v>19</v>
      </c>
      <c r="S391">
        <v>9</v>
      </c>
      <c r="T391" s="3">
        <v>7670</v>
      </c>
      <c r="U391" s="3">
        <v>0</v>
      </c>
      <c r="V391" s="3">
        <v>46076</v>
      </c>
      <c r="W391" s="3">
        <v>46081</v>
      </c>
      <c r="X391" t="s">
        <v>51</v>
      </c>
    </row>
    <row r="392" spans="1:24" hidden="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T392" s="3"/>
      <c r="U392" s="3"/>
      <c r="V392" s="3"/>
      <c r="W392" s="3"/>
    </row>
    <row r="393" spans="1:24" hidden="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T393" s="3"/>
      <c r="U393" s="3"/>
      <c r="V393" s="3"/>
      <c r="W393" s="3"/>
    </row>
    <row r="394" spans="1:24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T394" s="3"/>
      <c r="U394" s="3"/>
      <c r="V394" s="3"/>
      <c r="W394" s="3"/>
    </row>
    <row r="395" spans="1:24" hidden="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>
        <v>1394</v>
      </c>
      <c r="M395" t="s">
        <v>54</v>
      </c>
      <c r="N395">
        <v>1394</v>
      </c>
      <c r="O395" t="s">
        <v>54</v>
      </c>
      <c r="P395" t="s">
        <v>12</v>
      </c>
      <c r="Q395" t="s">
        <v>13</v>
      </c>
      <c r="R395" t="s">
        <v>14</v>
      </c>
      <c r="S395">
        <v>10</v>
      </c>
      <c r="T395" s="3">
        <v>138</v>
      </c>
      <c r="U395" s="3">
        <v>2</v>
      </c>
      <c r="V395" s="3">
        <v>46056</v>
      </c>
      <c r="W395" s="3">
        <v>46057</v>
      </c>
      <c r="X395" t="s">
        <v>15</v>
      </c>
    </row>
    <row r="396" spans="1:24" hidden="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>
        <v>1395</v>
      </c>
      <c r="M396" t="s">
        <v>54</v>
      </c>
      <c r="N396">
        <v>1395</v>
      </c>
      <c r="O396" t="s">
        <v>54</v>
      </c>
      <c r="P396" t="s">
        <v>33</v>
      </c>
      <c r="Q396" t="s">
        <v>18</v>
      </c>
      <c r="R396" t="s">
        <v>44</v>
      </c>
      <c r="S396">
        <v>18</v>
      </c>
      <c r="T396" s="3">
        <v>10402</v>
      </c>
      <c r="U396" s="3">
        <v>15</v>
      </c>
      <c r="V396" s="3">
        <v>46062</v>
      </c>
      <c r="W396" s="3">
        <v>46067</v>
      </c>
      <c r="X396" t="s">
        <v>29</v>
      </c>
    </row>
    <row r="397" spans="1:24" hidden="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>
        <v>1396</v>
      </c>
      <c r="M397" t="s">
        <v>21</v>
      </c>
      <c r="N397">
        <v>1396</v>
      </c>
      <c r="O397" t="s">
        <v>21</v>
      </c>
      <c r="P397" t="s">
        <v>38</v>
      </c>
      <c r="Q397" t="s">
        <v>13</v>
      </c>
      <c r="R397" t="s">
        <v>53</v>
      </c>
      <c r="S397">
        <v>8</v>
      </c>
      <c r="T397" s="3">
        <v>54</v>
      </c>
      <c r="U397" s="3">
        <v>15</v>
      </c>
      <c r="V397" s="3">
        <v>46031</v>
      </c>
      <c r="W397" s="3">
        <v>46035</v>
      </c>
      <c r="X397" t="s">
        <v>15</v>
      </c>
    </row>
    <row r="398" spans="1:24" hidden="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>
        <v>1397</v>
      </c>
      <c r="M398" t="s">
        <v>21</v>
      </c>
      <c r="N398">
        <v>1397</v>
      </c>
      <c r="O398" t="s">
        <v>21</v>
      </c>
      <c r="P398" t="s">
        <v>33</v>
      </c>
      <c r="Q398" t="s">
        <v>18</v>
      </c>
      <c r="R398" t="s">
        <v>23</v>
      </c>
      <c r="S398">
        <v>1</v>
      </c>
      <c r="T398" s="3">
        <v>8948</v>
      </c>
      <c r="U398" s="3">
        <v>5</v>
      </c>
      <c r="V398" s="3">
        <v>46194</v>
      </c>
      <c r="W398" s="3">
        <v>46201</v>
      </c>
      <c r="X398" t="s">
        <v>51</v>
      </c>
    </row>
    <row r="399" spans="1:24" hidden="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T399" s="3"/>
      <c r="U399" s="3"/>
      <c r="V399" s="3"/>
      <c r="W399" s="3"/>
    </row>
    <row r="400" spans="1:24" hidden="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>
        <v>1399</v>
      </c>
      <c r="M400" t="s">
        <v>48</v>
      </c>
      <c r="N400">
        <v>1399</v>
      </c>
      <c r="O400" t="s">
        <v>48</v>
      </c>
      <c r="P400" t="s">
        <v>31</v>
      </c>
      <c r="Q400" t="s">
        <v>13</v>
      </c>
      <c r="R400" t="s">
        <v>14</v>
      </c>
      <c r="S400">
        <v>15</v>
      </c>
      <c r="T400" s="3">
        <v>87</v>
      </c>
      <c r="U400" s="3">
        <v>15</v>
      </c>
      <c r="V400" s="3">
        <v>46089</v>
      </c>
      <c r="W400" s="3">
        <v>46093</v>
      </c>
      <c r="X400" t="s">
        <v>20</v>
      </c>
    </row>
    <row r="401" spans="1:23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T401" s="3"/>
      <c r="U401" s="3"/>
      <c r="V401" s="3"/>
      <c r="W401" s="3"/>
    </row>
  </sheetData>
  <autoFilter ref="A1:K401" xr:uid="{5D46BCB5-FF02-4EF2-8F0F-F6C0B6042AF2}">
    <filterColumn colId="3">
      <filters>
        <filter val="Electronics"/>
      </filters>
    </filterColumn>
    <filterColumn colId="7">
      <customFilters>
        <customFilter operator="greaterThanOrEqual" val="1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356E-1E42-41D4-9157-7457878CD221}">
  <dimension ref="A1:K404"/>
  <sheetViews>
    <sheetView topLeftCell="B1" workbookViewId="0">
      <pane ySplit="1" topLeftCell="A385" activePane="bottomLeft" state="frozen"/>
      <selection activeCell="B1" sqref="B1"/>
      <selection pane="bottomLeft" activeCell="H405" sqref="H405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</row>
    <row r="3" spans="1:1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</row>
    <row r="4" spans="1:1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</row>
    <row r="5" spans="1:1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</row>
    <row r="6" spans="1:1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</row>
    <row r="7" spans="1:1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</row>
    <row r="8" spans="1:1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</row>
    <row r="9" spans="1:1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</row>
    <row r="10" spans="1:11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</row>
    <row r="11" spans="1:1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</row>
    <row r="12" spans="1:1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</row>
    <row r="13" spans="1:11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</row>
    <row r="14" spans="1:1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</row>
    <row r="15" spans="1:11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</row>
    <row r="16" spans="1:1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</row>
    <row r="17" spans="1:1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</row>
    <row r="18" spans="1:1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</row>
    <row r="19" spans="1:1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</row>
    <row r="20" spans="1:1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</row>
    <row r="21" spans="1:1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</row>
    <row r="22" spans="1:1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</row>
    <row r="23" spans="1:1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</row>
    <row r="24" spans="1:1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</row>
    <row r="25" spans="1:1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</row>
    <row r="26" spans="1:1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</row>
    <row r="27" spans="1:1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</row>
    <row r="28" spans="1:1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</row>
    <row r="29" spans="1:1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</row>
    <row r="30" spans="1:1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</row>
    <row r="31" spans="1:1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</row>
    <row r="32" spans="1:1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</row>
    <row r="33" spans="1:1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</row>
    <row r="34" spans="1:1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</row>
    <row r="35" spans="1:1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</row>
    <row r="36" spans="1:1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</row>
    <row r="37" spans="1:1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</row>
    <row r="38" spans="1:1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</row>
    <row r="39" spans="1:1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</row>
    <row r="40" spans="1:1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</row>
    <row r="41" spans="1:1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</row>
    <row r="42" spans="1:1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</row>
    <row r="43" spans="1:1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</row>
    <row r="44" spans="1:1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</row>
    <row r="45" spans="1:1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</row>
    <row r="46" spans="1:1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</row>
    <row r="47" spans="1:1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</row>
    <row r="48" spans="1:1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</row>
    <row r="49" spans="1:1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</row>
    <row r="50" spans="1:1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</row>
    <row r="51" spans="1:1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</row>
    <row r="52" spans="1:1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</row>
    <row r="53" spans="1:1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</row>
    <row r="54" spans="1:1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</row>
    <row r="55" spans="1:1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</row>
    <row r="56" spans="1:1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</row>
    <row r="57" spans="1:1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</row>
    <row r="58" spans="1:1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</row>
    <row r="59" spans="1:1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</row>
    <row r="60" spans="1:1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</row>
    <row r="61" spans="1:1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</row>
    <row r="62" spans="1:1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</row>
    <row r="63" spans="1:1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</row>
    <row r="64" spans="1:1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</row>
    <row r="65" spans="1:1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</row>
    <row r="66" spans="1:1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</row>
    <row r="67" spans="1:1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</row>
    <row r="68" spans="1:1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</row>
    <row r="69" spans="1:1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</row>
    <row r="70" spans="1:1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</row>
    <row r="71" spans="1:1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</row>
    <row r="72" spans="1:1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</row>
    <row r="73" spans="1:1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</row>
    <row r="74" spans="1:1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</row>
    <row r="75" spans="1:1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</row>
    <row r="76" spans="1:1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</row>
    <row r="77" spans="1:1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</row>
    <row r="78" spans="1:1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</row>
    <row r="79" spans="1:1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</row>
    <row r="80" spans="1:1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</row>
    <row r="81" spans="1:1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</row>
    <row r="82" spans="1:1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</row>
    <row r="83" spans="1:1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</row>
    <row r="84" spans="1:1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</row>
    <row r="85" spans="1:1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</row>
    <row r="86" spans="1:1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</row>
    <row r="87" spans="1:1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</row>
    <row r="88" spans="1:1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</row>
    <row r="89" spans="1:1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</row>
    <row r="90" spans="1:1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</row>
    <row r="91" spans="1:1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</row>
    <row r="92" spans="1:1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</row>
    <row r="93" spans="1:1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</row>
    <row r="94" spans="1:1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</row>
    <row r="95" spans="1:1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</row>
    <row r="96" spans="1:1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</row>
    <row r="97" spans="1:1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</row>
    <row r="98" spans="1:1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</row>
    <row r="99" spans="1:1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</row>
    <row r="100" spans="1:1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</row>
    <row r="101" spans="1:1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</row>
    <row r="102" spans="1:1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</row>
    <row r="103" spans="1:1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</row>
    <row r="104" spans="1:1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</row>
    <row r="105" spans="1:1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</row>
    <row r="106" spans="1:1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</row>
    <row r="107" spans="1:1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</row>
    <row r="108" spans="1:1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</row>
    <row r="109" spans="1:1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</row>
    <row r="110" spans="1:1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</row>
    <row r="111" spans="1:1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</row>
    <row r="112" spans="1:1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</row>
    <row r="113" spans="1:1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</row>
    <row r="114" spans="1:1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</row>
    <row r="115" spans="1:1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</row>
    <row r="116" spans="1:1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</row>
    <row r="117" spans="1:1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</row>
    <row r="118" spans="1:1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</row>
    <row r="119" spans="1:1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</row>
    <row r="120" spans="1:1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</row>
    <row r="121" spans="1:1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</row>
    <row r="122" spans="1:1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</row>
    <row r="123" spans="1:1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</row>
    <row r="124" spans="1:1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</row>
    <row r="125" spans="1:1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</row>
    <row r="126" spans="1:1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</row>
    <row r="127" spans="1:1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</row>
    <row r="128" spans="1:1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</row>
    <row r="129" spans="1:1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</row>
    <row r="130" spans="1:1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</row>
    <row r="131" spans="1:1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</row>
    <row r="132" spans="1:1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</row>
    <row r="133" spans="1:1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</row>
    <row r="134" spans="1:1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</row>
    <row r="135" spans="1:1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</row>
    <row r="136" spans="1:1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</row>
    <row r="137" spans="1:1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</row>
    <row r="138" spans="1:1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</row>
    <row r="139" spans="1:1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</row>
    <row r="140" spans="1:1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</row>
    <row r="141" spans="1:1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</row>
    <row r="142" spans="1:1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</row>
    <row r="143" spans="1:1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</row>
    <row r="144" spans="1:1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</row>
    <row r="145" spans="1:1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</row>
    <row r="146" spans="1:1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</row>
    <row r="147" spans="1:1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</row>
    <row r="148" spans="1:1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</row>
    <row r="149" spans="1:1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</row>
    <row r="150" spans="1:1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</row>
    <row r="151" spans="1:1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</row>
    <row r="152" spans="1:1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</row>
    <row r="153" spans="1:1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</row>
    <row r="154" spans="1:1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</row>
    <row r="155" spans="1:1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</row>
    <row r="156" spans="1:1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</row>
    <row r="157" spans="1:1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</row>
    <row r="158" spans="1:1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</row>
    <row r="159" spans="1:1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</row>
    <row r="160" spans="1:1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</row>
    <row r="161" spans="1:1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</row>
    <row r="162" spans="1:1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</row>
    <row r="163" spans="1:1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</row>
    <row r="164" spans="1:1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</row>
    <row r="165" spans="1:1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</row>
    <row r="166" spans="1:1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</row>
    <row r="167" spans="1:1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</row>
    <row r="168" spans="1:1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</row>
    <row r="169" spans="1:1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</row>
    <row r="170" spans="1:1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</row>
    <row r="171" spans="1:1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</row>
    <row r="172" spans="1:1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</row>
    <row r="173" spans="1:1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</row>
    <row r="174" spans="1:1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</row>
    <row r="175" spans="1:1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</row>
    <row r="176" spans="1:1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</row>
    <row r="177" spans="1:1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</row>
    <row r="178" spans="1:1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</row>
    <row r="179" spans="1:1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</row>
    <row r="180" spans="1:1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</row>
    <row r="181" spans="1:1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</row>
    <row r="182" spans="1:1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</row>
    <row r="183" spans="1:1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</row>
    <row r="184" spans="1:1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</row>
    <row r="185" spans="1:1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</row>
    <row r="186" spans="1:1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</row>
    <row r="187" spans="1:1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</row>
    <row r="188" spans="1:1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</row>
    <row r="189" spans="1:1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</row>
    <row r="190" spans="1:1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</row>
    <row r="191" spans="1:1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</row>
    <row r="192" spans="1:1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</row>
    <row r="193" spans="1:1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</row>
    <row r="194" spans="1:1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</row>
    <row r="195" spans="1:1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</row>
    <row r="196" spans="1:1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</row>
    <row r="197" spans="1:1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</row>
    <row r="198" spans="1:1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</row>
    <row r="199" spans="1:1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</row>
    <row r="200" spans="1:1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</row>
    <row r="201" spans="1:1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</row>
    <row r="202" spans="1:1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</row>
    <row r="203" spans="1:1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</row>
    <row r="204" spans="1:1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</row>
    <row r="205" spans="1:1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</row>
    <row r="206" spans="1:1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</row>
    <row r="207" spans="1:1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</row>
    <row r="208" spans="1:1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</row>
    <row r="209" spans="1:1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</row>
    <row r="210" spans="1:1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</row>
    <row r="211" spans="1:1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</row>
    <row r="212" spans="1:1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</row>
    <row r="213" spans="1:1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</row>
    <row r="214" spans="1:1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</row>
    <row r="215" spans="1:1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</row>
    <row r="216" spans="1:1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</row>
    <row r="217" spans="1:1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</row>
    <row r="218" spans="1:1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</row>
    <row r="219" spans="1:1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</row>
    <row r="220" spans="1:1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</row>
    <row r="221" spans="1:1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</row>
    <row r="222" spans="1:1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</row>
    <row r="223" spans="1:1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</row>
    <row r="224" spans="1:1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</row>
    <row r="225" spans="1:1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</row>
    <row r="226" spans="1:1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</row>
    <row r="227" spans="1:1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</row>
    <row r="228" spans="1:1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</row>
    <row r="229" spans="1:1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</row>
    <row r="230" spans="1:1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</row>
    <row r="231" spans="1:1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</row>
    <row r="232" spans="1:1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</row>
    <row r="233" spans="1:1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</row>
    <row r="234" spans="1:1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</row>
    <row r="235" spans="1:1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</row>
    <row r="236" spans="1:1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</row>
    <row r="237" spans="1:1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</row>
    <row r="238" spans="1:1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</row>
    <row r="239" spans="1:1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</row>
    <row r="240" spans="1:1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</row>
    <row r="241" spans="1:1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</row>
    <row r="242" spans="1:1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</row>
    <row r="243" spans="1:1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</row>
    <row r="244" spans="1:1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</row>
    <row r="245" spans="1:1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</row>
    <row r="246" spans="1:1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</row>
    <row r="247" spans="1:1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</row>
    <row r="248" spans="1:1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</row>
    <row r="249" spans="1:1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</row>
    <row r="250" spans="1:1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</row>
    <row r="251" spans="1:1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</row>
    <row r="252" spans="1:1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</row>
    <row r="253" spans="1:1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</row>
    <row r="254" spans="1:1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</row>
    <row r="255" spans="1:1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</row>
    <row r="256" spans="1:1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</row>
    <row r="257" spans="1:1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</row>
    <row r="258" spans="1:1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</row>
    <row r="259" spans="1:1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</row>
    <row r="260" spans="1:1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</row>
    <row r="261" spans="1:1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</row>
    <row r="262" spans="1:1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</row>
    <row r="263" spans="1:1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</row>
    <row r="264" spans="1:1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</row>
    <row r="265" spans="1:1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</row>
    <row r="266" spans="1:1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</row>
    <row r="267" spans="1:1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</row>
    <row r="268" spans="1:1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</row>
    <row r="269" spans="1:1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</row>
    <row r="270" spans="1:1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</row>
    <row r="271" spans="1:1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</row>
    <row r="272" spans="1:1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</row>
    <row r="273" spans="1:1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</row>
    <row r="274" spans="1:1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</row>
    <row r="275" spans="1:1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</row>
    <row r="276" spans="1:1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</row>
    <row r="277" spans="1:1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</row>
    <row r="278" spans="1:1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</row>
    <row r="279" spans="1:1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</row>
    <row r="280" spans="1:1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</row>
    <row r="281" spans="1:1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</row>
    <row r="282" spans="1:1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</row>
    <row r="283" spans="1:1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</row>
    <row r="284" spans="1:1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</row>
    <row r="285" spans="1:1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</row>
    <row r="286" spans="1:1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</row>
    <row r="287" spans="1:1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</row>
    <row r="288" spans="1:1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</row>
    <row r="289" spans="1:1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</row>
    <row r="290" spans="1:1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</row>
    <row r="291" spans="1:1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</row>
    <row r="292" spans="1:1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</row>
    <row r="293" spans="1:1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</row>
    <row r="294" spans="1:1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</row>
    <row r="295" spans="1:1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</row>
    <row r="296" spans="1:1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</row>
    <row r="297" spans="1:1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</row>
    <row r="298" spans="1:1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</row>
    <row r="299" spans="1:1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</row>
    <row r="300" spans="1:1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</row>
    <row r="301" spans="1:1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</row>
    <row r="302" spans="1:1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</row>
    <row r="303" spans="1:1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</row>
    <row r="304" spans="1:1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</row>
    <row r="305" spans="1:1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</row>
    <row r="306" spans="1:1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</row>
    <row r="307" spans="1:1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</row>
    <row r="308" spans="1:1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</row>
    <row r="309" spans="1:1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</row>
    <row r="310" spans="1:1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</row>
    <row r="311" spans="1:1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</row>
    <row r="312" spans="1:1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</row>
    <row r="313" spans="1:1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</row>
    <row r="314" spans="1:1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</row>
    <row r="315" spans="1:1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</row>
    <row r="316" spans="1:1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</row>
    <row r="317" spans="1:1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</row>
    <row r="318" spans="1:1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</row>
    <row r="319" spans="1:1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</row>
    <row r="320" spans="1:1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</row>
    <row r="321" spans="1:1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</row>
    <row r="322" spans="1:1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</row>
    <row r="323" spans="1:1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</row>
    <row r="324" spans="1:1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</row>
    <row r="325" spans="1:1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</row>
    <row r="326" spans="1:1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</row>
    <row r="327" spans="1:1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</row>
    <row r="328" spans="1:1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</row>
    <row r="329" spans="1:1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</row>
    <row r="330" spans="1:1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</row>
    <row r="331" spans="1:1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</row>
    <row r="332" spans="1:1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</row>
    <row r="333" spans="1:1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</row>
    <row r="334" spans="1:1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</row>
    <row r="335" spans="1:1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</row>
    <row r="336" spans="1:1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</row>
    <row r="337" spans="1:1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</row>
    <row r="338" spans="1:1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</row>
    <row r="339" spans="1:1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</row>
    <row r="340" spans="1:1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</row>
    <row r="341" spans="1:1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</row>
    <row r="342" spans="1:1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</row>
    <row r="343" spans="1:1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</row>
    <row r="344" spans="1:1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</row>
    <row r="345" spans="1:1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</row>
    <row r="346" spans="1:1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</row>
    <row r="347" spans="1:1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</row>
    <row r="348" spans="1:1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</row>
    <row r="349" spans="1:1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</row>
    <row r="350" spans="1:1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</row>
    <row r="351" spans="1:1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</row>
    <row r="352" spans="1:1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</row>
    <row r="353" spans="1:1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</row>
    <row r="354" spans="1:1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</row>
    <row r="355" spans="1:1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</row>
    <row r="356" spans="1:1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</row>
    <row r="357" spans="1:1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</row>
    <row r="358" spans="1:1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</row>
    <row r="359" spans="1:1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</row>
    <row r="360" spans="1:1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</row>
    <row r="361" spans="1:1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</row>
    <row r="362" spans="1:1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</row>
    <row r="363" spans="1:1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</row>
    <row r="364" spans="1:1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</row>
    <row r="365" spans="1:1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</row>
    <row r="366" spans="1:1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</row>
    <row r="367" spans="1:1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</row>
    <row r="368" spans="1:1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</row>
    <row r="369" spans="1:1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</row>
    <row r="370" spans="1:1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</row>
    <row r="371" spans="1:1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</row>
    <row r="372" spans="1:1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</row>
    <row r="373" spans="1:1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</row>
    <row r="374" spans="1:1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</row>
    <row r="375" spans="1:1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</row>
    <row r="376" spans="1:1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</row>
    <row r="377" spans="1:1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</row>
    <row r="378" spans="1:1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</row>
    <row r="379" spans="1:1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</row>
    <row r="380" spans="1:1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</row>
    <row r="381" spans="1:1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</row>
    <row r="382" spans="1:1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</row>
    <row r="383" spans="1:1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</row>
    <row r="384" spans="1:1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</row>
    <row r="385" spans="1:1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</row>
    <row r="386" spans="1:1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</row>
    <row r="387" spans="1:1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</row>
    <row r="388" spans="1:1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</row>
    <row r="389" spans="1:1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</row>
    <row r="390" spans="1:1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</row>
    <row r="391" spans="1:1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</row>
    <row r="392" spans="1:1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</row>
    <row r="393" spans="1:1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</row>
    <row r="394" spans="1:1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</row>
    <row r="395" spans="1:1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</row>
    <row r="396" spans="1:1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</row>
    <row r="397" spans="1:1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</row>
    <row r="398" spans="1:1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</row>
    <row r="399" spans="1:1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</row>
    <row r="400" spans="1:1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</row>
    <row r="401" spans="1:1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</row>
    <row r="402" spans="1:11" ht="21" x14ac:dyDescent="0.4">
      <c r="E402" s="6" t="s">
        <v>62</v>
      </c>
      <c r="F402" s="7">
        <f>SUM(F2:F401)</f>
        <v>4446</v>
      </c>
      <c r="G402" s="7">
        <f>AVERAGE(G2:G401)</f>
        <v>16067.842500000001</v>
      </c>
      <c r="H402" s="11" t="s">
        <v>64</v>
      </c>
      <c r="I402" s="11"/>
    </row>
    <row r="403" spans="1:11" ht="21" x14ac:dyDescent="0.4">
      <c r="D403" s="10" t="s">
        <v>63</v>
      </c>
      <c r="E403" s="10"/>
      <c r="F403" s="5">
        <f>COUNT(F2:F401)</f>
        <v>400</v>
      </c>
      <c r="G403" s="5">
        <f>MIN(G2:G401)</f>
        <v>30</v>
      </c>
      <c r="H403" s="6" t="s">
        <v>65</v>
      </c>
    </row>
    <row r="404" spans="1:11" ht="21" x14ac:dyDescent="0.4">
      <c r="E404" s="4"/>
      <c r="F404" s="5"/>
      <c r="G404" s="5">
        <f>MAX(G2:G401)</f>
        <v>69793</v>
      </c>
      <c r="H404" s="6" t="s">
        <v>66</v>
      </c>
    </row>
  </sheetData>
  <mergeCells count="2">
    <mergeCell ref="D403:E403"/>
    <mergeCell ref="H402:I4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4434-C667-443D-BE23-48F427DE8A3C}">
  <dimension ref="A1:L401"/>
  <sheetViews>
    <sheetView workbookViewId="0">
      <selection activeCell="L2" sqref="L2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3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67</v>
      </c>
    </row>
    <row r="2" spans="1:12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t="str">
        <f>IF(F2&gt;=15, "Bulk Order",IF(F2&gt;=5, "Medium Order",  "Regular Order"))</f>
        <v>Regular Order</v>
      </c>
    </row>
    <row r="3" spans="1:12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t="str">
        <f t="shared" ref="L3:L66" si="0">IF(F3&gt;=15, "Bulk Order",IF(F3&gt;=5, "Medium Order",  "Regular Order"))</f>
        <v>Medium Order</v>
      </c>
    </row>
    <row r="4" spans="1:12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t="str">
        <f t="shared" si="0"/>
        <v>Bulk Order</v>
      </c>
    </row>
    <row r="5" spans="1:12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t="str">
        <f t="shared" si="0"/>
        <v>Bulk Order</v>
      </c>
    </row>
    <row r="6" spans="1:12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t="str">
        <f t="shared" si="0"/>
        <v>Bulk Order</v>
      </c>
    </row>
    <row r="7" spans="1:12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t="str">
        <f t="shared" si="0"/>
        <v>Regular Order</v>
      </c>
    </row>
    <row r="8" spans="1:12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t="str">
        <f t="shared" si="0"/>
        <v>Bulk Order</v>
      </c>
    </row>
    <row r="9" spans="1:12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t="str">
        <f t="shared" si="0"/>
        <v>Regular Order</v>
      </c>
    </row>
    <row r="10" spans="1:12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t="str">
        <f t="shared" si="0"/>
        <v>Medium Order</v>
      </c>
    </row>
    <row r="11" spans="1:12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t="str">
        <f t="shared" si="0"/>
        <v>Medium Order</v>
      </c>
    </row>
    <row r="12" spans="1:12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t="str">
        <f t="shared" si="0"/>
        <v>Medium Order</v>
      </c>
    </row>
    <row r="13" spans="1:12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t="str">
        <f t="shared" si="0"/>
        <v>Regular Order</v>
      </c>
    </row>
    <row r="14" spans="1:12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t="str">
        <f t="shared" si="0"/>
        <v>Bulk Order</v>
      </c>
    </row>
    <row r="15" spans="1:12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t="str">
        <f t="shared" si="0"/>
        <v>Bulk Order</v>
      </c>
    </row>
    <row r="16" spans="1:12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t="str">
        <f t="shared" si="0"/>
        <v>Medium Order</v>
      </c>
    </row>
    <row r="17" spans="1:12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t="str">
        <f t="shared" si="0"/>
        <v>Bulk Order</v>
      </c>
    </row>
    <row r="18" spans="1:12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t="str">
        <f t="shared" si="0"/>
        <v>Medium Order</v>
      </c>
    </row>
    <row r="19" spans="1:12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t="str">
        <f t="shared" si="0"/>
        <v>Bulk Order</v>
      </c>
    </row>
    <row r="20" spans="1:12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t="str">
        <f t="shared" si="0"/>
        <v>Bulk Order</v>
      </c>
    </row>
    <row r="21" spans="1:12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t="str">
        <f t="shared" si="0"/>
        <v>Medium Order</v>
      </c>
    </row>
    <row r="22" spans="1:12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t="str">
        <f t="shared" si="0"/>
        <v>Regular Order</v>
      </c>
    </row>
    <row r="23" spans="1:12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t="str">
        <f t="shared" si="0"/>
        <v>Bulk Order</v>
      </c>
    </row>
    <row r="24" spans="1:12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t="str">
        <f t="shared" si="0"/>
        <v>Bulk Order</v>
      </c>
    </row>
    <row r="25" spans="1:12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t="str">
        <f t="shared" si="0"/>
        <v>Medium Order</v>
      </c>
    </row>
    <row r="26" spans="1:12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t="str">
        <f t="shared" si="0"/>
        <v>Bulk Order</v>
      </c>
    </row>
    <row r="27" spans="1:12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t="str">
        <f t="shared" si="0"/>
        <v>Bulk Order</v>
      </c>
    </row>
    <row r="28" spans="1:12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t="str">
        <f t="shared" si="0"/>
        <v>Regular Order</v>
      </c>
    </row>
    <row r="29" spans="1:12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t="str">
        <f t="shared" si="0"/>
        <v>Medium Order</v>
      </c>
    </row>
    <row r="30" spans="1:12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t="str">
        <f t="shared" si="0"/>
        <v>Bulk Order</v>
      </c>
    </row>
    <row r="31" spans="1:12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t="str">
        <f t="shared" si="0"/>
        <v>Medium Order</v>
      </c>
    </row>
    <row r="32" spans="1:12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t="str">
        <f t="shared" si="0"/>
        <v>Regular Order</v>
      </c>
    </row>
    <row r="33" spans="1:12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t="str">
        <f t="shared" si="0"/>
        <v>Bulk Order</v>
      </c>
    </row>
    <row r="34" spans="1:12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t="str">
        <f t="shared" si="0"/>
        <v>Medium Order</v>
      </c>
    </row>
    <row r="35" spans="1:12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t="str">
        <f t="shared" si="0"/>
        <v>Bulk Order</v>
      </c>
    </row>
    <row r="36" spans="1:12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t="str">
        <f t="shared" si="0"/>
        <v>Regular Order</v>
      </c>
    </row>
    <row r="37" spans="1:12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t="str">
        <f t="shared" si="0"/>
        <v>Bulk Order</v>
      </c>
    </row>
    <row r="38" spans="1:12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t="str">
        <f t="shared" si="0"/>
        <v>Medium Order</v>
      </c>
    </row>
    <row r="39" spans="1:12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t="str">
        <f t="shared" si="0"/>
        <v>Bulk Order</v>
      </c>
    </row>
    <row r="40" spans="1:12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t="str">
        <f t="shared" si="0"/>
        <v>Medium Order</v>
      </c>
    </row>
    <row r="41" spans="1:12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t="str">
        <f t="shared" si="0"/>
        <v>Medium Order</v>
      </c>
    </row>
    <row r="42" spans="1:12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t="str">
        <f t="shared" si="0"/>
        <v>Medium Order</v>
      </c>
    </row>
    <row r="43" spans="1:12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t="str">
        <f t="shared" si="0"/>
        <v>Bulk Order</v>
      </c>
    </row>
    <row r="44" spans="1:12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t="str">
        <f t="shared" si="0"/>
        <v>Bulk Order</v>
      </c>
    </row>
    <row r="45" spans="1:12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t="str">
        <f t="shared" si="0"/>
        <v>Regular Order</v>
      </c>
    </row>
    <row r="46" spans="1:12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t="str">
        <f t="shared" si="0"/>
        <v>Regular Order</v>
      </c>
    </row>
    <row r="47" spans="1:12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t="str">
        <f t="shared" si="0"/>
        <v>Regular Order</v>
      </c>
    </row>
    <row r="48" spans="1:12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t="str">
        <f t="shared" si="0"/>
        <v>Medium Order</v>
      </c>
    </row>
    <row r="49" spans="1:12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t="str">
        <f t="shared" si="0"/>
        <v>Medium Order</v>
      </c>
    </row>
    <row r="50" spans="1:12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t="str">
        <f t="shared" si="0"/>
        <v>Regular Order</v>
      </c>
    </row>
    <row r="51" spans="1:12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t="str">
        <f t="shared" si="0"/>
        <v>Medium Order</v>
      </c>
    </row>
    <row r="52" spans="1:12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t="str">
        <f t="shared" si="0"/>
        <v>Medium Order</v>
      </c>
    </row>
    <row r="53" spans="1:12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t="str">
        <f t="shared" si="0"/>
        <v>Bulk Order</v>
      </c>
    </row>
    <row r="54" spans="1:12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t="str">
        <f t="shared" si="0"/>
        <v>Regular Order</v>
      </c>
    </row>
    <row r="55" spans="1:12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t="str">
        <f t="shared" si="0"/>
        <v>Medium Order</v>
      </c>
    </row>
    <row r="56" spans="1:12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t="str">
        <f t="shared" si="0"/>
        <v>Bulk Order</v>
      </c>
    </row>
    <row r="57" spans="1:12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t="str">
        <f t="shared" si="0"/>
        <v>Regular Order</v>
      </c>
    </row>
    <row r="58" spans="1:12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t="str">
        <f t="shared" si="0"/>
        <v>Regular Order</v>
      </c>
    </row>
    <row r="59" spans="1:12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t="str">
        <f t="shared" si="0"/>
        <v>Medium Order</v>
      </c>
    </row>
    <row r="60" spans="1:12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t="str">
        <f t="shared" si="0"/>
        <v>Bulk Order</v>
      </c>
    </row>
    <row r="61" spans="1:12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t="str">
        <f t="shared" si="0"/>
        <v>Medium Order</v>
      </c>
    </row>
    <row r="62" spans="1:12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t="str">
        <f t="shared" si="0"/>
        <v>Bulk Order</v>
      </c>
    </row>
    <row r="63" spans="1:12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t="str">
        <f t="shared" si="0"/>
        <v>Medium Order</v>
      </c>
    </row>
    <row r="64" spans="1:12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t="str">
        <f t="shared" si="0"/>
        <v>Medium Order</v>
      </c>
    </row>
    <row r="65" spans="1:12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t="str">
        <f t="shared" si="0"/>
        <v>Bulk Order</v>
      </c>
    </row>
    <row r="66" spans="1:12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t="str">
        <f t="shared" si="0"/>
        <v>Regular Order</v>
      </c>
    </row>
    <row r="67" spans="1:12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t="str">
        <f t="shared" ref="L67:L130" si="1">IF(F67&gt;=15, "Bulk Order",IF(F67&gt;=5, "Medium Order",  "Regular Order"))</f>
        <v>Bulk Order</v>
      </c>
    </row>
    <row r="68" spans="1:12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t="str">
        <f t="shared" si="1"/>
        <v>Medium Order</v>
      </c>
    </row>
    <row r="69" spans="1:12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t="str">
        <f t="shared" si="1"/>
        <v>Bulk Order</v>
      </c>
    </row>
    <row r="70" spans="1:12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t="str">
        <f t="shared" si="1"/>
        <v>Medium Order</v>
      </c>
    </row>
    <row r="71" spans="1:12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t="str">
        <f t="shared" si="1"/>
        <v>Medium Order</v>
      </c>
    </row>
    <row r="72" spans="1:12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t="str">
        <f t="shared" si="1"/>
        <v>Bulk Order</v>
      </c>
    </row>
    <row r="73" spans="1:12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t="str">
        <f t="shared" si="1"/>
        <v>Bulk Order</v>
      </c>
    </row>
    <row r="74" spans="1:12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t="str">
        <f t="shared" si="1"/>
        <v>Regular Order</v>
      </c>
    </row>
    <row r="75" spans="1:12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t="str">
        <f t="shared" si="1"/>
        <v>Medium Order</v>
      </c>
    </row>
    <row r="76" spans="1:12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t="str">
        <f t="shared" si="1"/>
        <v>Regular Order</v>
      </c>
    </row>
    <row r="77" spans="1:12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t="str">
        <f t="shared" si="1"/>
        <v>Bulk Order</v>
      </c>
    </row>
    <row r="78" spans="1:12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t="str">
        <f t="shared" si="1"/>
        <v>Regular Order</v>
      </c>
    </row>
    <row r="79" spans="1:12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t="str">
        <f t="shared" si="1"/>
        <v>Medium Order</v>
      </c>
    </row>
    <row r="80" spans="1:12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t="str">
        <f t="shared" si="1"/>
        <v>Bulk Order</v>
      </c>
    </row>
    <row r="81" spans="1:12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t="str">
        <f t="shared" si="1"/>
        <v>Medium Order</v>
      </c>
    </row>
    <row r="82" spans="1:12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t="str">
        <f t="shared" si="1"/>
        <v>Bulk Order</v>
      </c>
    </row>
    <row r="83" spans="1:12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t="str">
        <f t="shared" si="1"/>
        <v>Medium Order</v>
      </c>
    </row>
    <row r="84" spans="1:12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t="str">
        <f t="shared" si="1"/>
        <v>Regular Order</v>
      </c>
    </row>
    <row r="85" spans="1:12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t="str">
        <f t="shared" si="1"/>
        <v>Regular Order</v>
      </c>
    </row>
    <row r="86" spans="1:12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t="str">
        <f t="shared" si="1"/>
        <v>Bulk Order</v>
      </c>
    </row>
    <row r="87" spans="1:12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t="str">
        <f t="shared" si="1"/>
        <v>Bulk Order</v>
      </c>
    </row>
    <row r="88" spans="1:12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t="str">
        <f t="shared" si="1"/>
        <v>Medium Order</v>
      </c>
    </row>
    <row r="89" spans="1:12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t="str">
        <f t="shared" si="1"/>
        <v>Bulk Order</v>
      </c>
    </row>
    <row r="90" spans="1:12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t="str">
        <f t="shared" si="1"/>
        <v>Medium Order</v>
      </c>
    </row>
    <row r="91" spans="1:12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t="str">
        <f t="shared" si="1"/>
        <v>Bulk Order</v>
      </c>
    </row>
    <row r="92" spans="1:12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t="str">
        <f t="shared" si="1"/>
        <v>Regular Order</v>
      </c>
    </row>
    <row r="93" spans="1:12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t="str">
        <f t="shared" si="1"/>
        <v>Medium Order</v>
      </c>
    </row>
    <row r="94" spans="1:12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t="str">
        <f t="shared" si="1"/>
        <v>Medium Order</v>
      </c>
    </row>
    <row r="95" spans="1:12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t="str">
        <f t="shared" si="1"/>
        <v>Regular Order</v>
      </c>
    </row>
    <row r="96" spans="1:12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t="str">
        <f t="shared" si="1"/>
        <v>Bulk Order</v>
      </c>
    </row>
    <row r="97" spans="1:12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t="str">
        <f t="shared" si="1"/>
        <v>Bulk Order</v>
      </c>
    </row>
    <row r="98" spans="1:12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t="str">
        <f t="shared" si="1"/>
        <v>Medium Order</v>
      </c>
    </row>
    <row r="99" spans="1:12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t="str">
        <f t="shared" si="1"/>
        <v>Bulk Order</v>
      </c>
    </row>
    <row r="100" spans="1:12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t="str">
        <f t="shared" si="1"/>
        <v>Regular Order</v>
      </c>
    </row>
    <row r="101" spans="1:12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t="str">
        <f t="shared" si="1"/>
        <v>Medium Order</v>
      </c>
    </row>
    <row r="102" spans="1:12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t="str">
        <f t="shared" si="1"/>
        <v>Medium Order</v>
      </c>
    </row>
    <row r="103" spans="1:12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t="str">
        <f t="shared" si="1"/>
        <v>Medium Order</v>
      </c>
    </row>
    <row r="104" spans="1:12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t="str">
        <f t="shared" si="1"/>
        <v>Medium Order</v>
      </c>
    </row>
    <row r="105" spans="1:12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t="str">
        <f t="shared" si="1"/>
        <v>Medium Order</v>
      </c>
    </row>
    <row r="106" spans="1:12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t="str">
        <f t="shared" si="1"/>
        <v>Regular Order</v>
      </c>
    </row>
    <row r="107" spans="1:12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t="str">
        <f t="shared" si="1"/>
        <v>Bulk Order</v>
      </c>
    </row>
    <row r="108" spans="1:12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t="str">
        <f t="shared" si="1"/>
        <v>Regular Order</v>
      </c>
    </row>
    <row r="109" spans="1:12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t="str">
        <f t="shared" si="1"/>
        <v>Bulk Order</v>
      </c>
    </row>
    <row r="110" spans="1:12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t="str">
        <f t="shared" si="1"/>
        <v>Bulk Order</v>
      </c>
    </row>
    <row r="111" spans="1:12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t="str">
        <f t="shared" si="1"/>
        <v>Medium Order</v>
      </c>
    </row>
    <row r="112" spans="1:12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t="str">
        <f t="shared" si="1"/>
        <v>Medium Order</v>
      </c>
    </row>
    <row r="113" spans="1:12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t="str">
        <f t="shared" si="1"/>
        <v>Medium Order</v>
      </c>
    </row>
    <row r="114" spans="1:12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t="str">
        <f t="shared" si="1"/>
        <v>Medium Order</v>
      </c>
    </row>
    <row r="115" spans="1:12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t="str">
        <f t="shared" si="1"/>
        <v>Medium Order</v>
      </c>
    </row>
    <row r="116" spans="1:12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t="str">
        <f t="shared" si="1"/>
        <v>Medium Order</v>
      </c>
    </row>
    <row r="117" spans="1:12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t="str">
        <f t="shared" si="1"/>
        <v>Regular Order</v>
      </c>
    </row>
    <row r="118" spans="1:12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t="str">
        <f t="shared" si="1"/>
        <v>Bulk Order</v>
      </c>
    </row>
    <row r="119" spans="1:12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t="str">
        <f t="shared" si="1"/>
        <v>Bulk Order</v>
      </c>
    </row>
    <row r="120" spans="1:12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t="str">
        <f t="shared" si="1"/>
        <v>Regular Order</v>
      </c>
    </row>
    <row r="121" spans="1:12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t="str">
        <f t="shared" si="1"/>
        <v>Medium Order</v>
      </c>
    </row>
    <row r="122" spans="1:12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t="str">
        <f t="shared" si="1"/>
        <v>Regular Order</v>
      </c>
    </row>
    <row r="123" spans="1:12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t="str">
        <f t="shared" si="1"/>
        <v>Medium Order</v>
      </c>
    </row>
    <row r="124" spans="1:12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t="str">
        <f t="shared" si="1"/>
        <v>Bulk Order</v>
      </c>
    </row>
    <row r="125" spans="1:12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t="str">
        <f t="shared" si="1"/>
        <v>Regular Order</v>
      </c>
    </row>
    <row r="126" spans="1:12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t="str">
        <f t="shared" si="1"/>
        <v>Medium Order</v>
      </c>
    </row>
    <row r="127" spans="1:12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t="str">
        <f t="shared" si="1"/>
        <v>Bulk Order</v>
      </c>
    </row>
    <row r="128" spans="1:12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t="str">
        <f t="shared" si="1"/>
        <v>Bulk Order</v>
      </c>
    </row>
    <row r="129" spans="1:12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t="str">
        <f t="shared" si="1"/>
        <v>Medium Order</v>
      </c>
    </row>
    <row r="130" spans="1:12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t="str">
        <f t="shared" si="1"/>
        <v>Bulk Order</v>
      </c>
    </row>
    <row r="131" spans="1:12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t="str">
        <f t="shared" ref="L131:L194" si="2">IF(F131&gt;=15, "Bulk Order",IF(F131&gt;=5, "Medium Order",  "Regular Order"))</f>
        <v>Medium Order</v>
      </c>
    </row>
    <row r="132" spans="1:12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t="str">
        <f t="shared" si="2"/>
        <v>Medium Order</v>
      </c>
    </row>
    <row r="133" spans="1:12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t="str">
        <f t="shared" si="2"/>
        <v>Medium Order</v>
      </c>
    </row>
    <row r="134" spans="1:12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t="str">
        <f t="shared" si="2"/>
        <v>Medium Order</v>
      </c>
    </row>
    <row r="135" spans="1:12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t="str">
        <f t="shared" si="2"/>
        <v>Medium Order</v>
      </c>
    </row>
    <row r="136" spans="1:12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t="str">
        <f t="shared" si="2"/>
        <v>Medium Order</v>
      </c>
    </row>
    <row r="137" spans="1:12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t="str">
        <f t="shared" si="2"/>
        <v>Bulk Order</v>
      </c>
    </row>
    <row r="138" spans="1:12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t="str">
        <f t="shared" si="2"/>
        <v>Bulk Order</v>
      </c>
    </row>
    <row r="139" spans="1:12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t="str">
        <f t="shared" si="2"/>
        <v>Medium Order</v>
      </c>
    </row>
    <row r="140" spans="1:12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t="str">
        <f t="shared" si="2"/>
        <v>Bulk Order</v>
      </c>
    </row>
    <row r="141" spans="1:12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t="str">
        <f t="shared" si="2"/>
        <v>Medium Order</v>
      </c>
    </row>
    <row r="142" spans="1:12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t="str">
        <f t="shared" si="2"/>
        <v>Bulk Order</v>
      </c>
    </row>
    <row r="143" spans="1:12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t="str">
        <f t="shared" si="2"/>
        <v>Medium Order</v>
      </c>
    </row>
    <row r="144" spans="1:12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t="str">
        <f t="shared" si="2"/>
        <v>Medium Order</v>
      </c>
    </row>
    <row r="145" spans="1:12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t="str">
        <f t="shared" si="2"/>
        <v>Bulk Order</v>
      </c>
    </row>
    <row r="146" spans="1:12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t="str">
        <f t="shared" si="2"/>
        <v>Regular Order</v>
      </c>
    </row>
    <row r="147" spans="1:12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t="str">
        <f t="shared" si="2"/>
        <v>Medium Order</v>
      </c>
    </row>
    <row r="148" spans="1:12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t="str">
        <f t="shared" si="2"/>
        <v>Medium Order</v>
      </c>
    </row>
    <row r="149" spans="1:12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t="str">
        <f t="shared" si="2"/>
        <v>Medium Order</v>
      </c>
    </row>
    <row r="150" spans="1:12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t="str">
        <f t="shared" si="2"/>
        <v>Medium Order</v>
      </c>
    </row>
    <row r="151" spans="1:12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t="str">
        <f t="shared" si="2"/>
        <v>Medium Order</v>
      </c>
    </row>
    <row r="152" spans="1:12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t="str">
        <f t="shared" si="2"/>
        <v>Bulk Order</v>
      </c>
    </row>
    <row r="153" spans="1:12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t="str">
        <f t="shared" si="2"/>
        <v>Medium Order</v>
      </c>
    </row>
    <row r="154" spans="1:12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t="str">
        <f t="shared" si="2"/>
        <v>Bulk Order</v>
      </c>
    </row>
    <row r="155" spans="1:12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t="str">
        <f t="shared" si="2"/>
        <v>Bulk Order</v>
      </c>
    </row>
    <row r="156" spans="1:12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t="str">
        <f t="shared" si="2"/>
        <v>Medium Order</v>
      </c>
    </row>
    <row r="157" spans="1:12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t="str">
        <f t="shared" si="2"/>
        <v>Medium Order</v>
      </c>
    </row>
    <row r="158" spans="1:12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t="str">
        <f t="shared" si="2"/>
        <v>Regular Order</v>
      </c>
    </row>
    <row r="159" spans="1:12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t="str">
        <f t="shared" si="2"/>
        <v>Medium Order</v>
      </c>
    </row>
    <row r="160" spans="1:12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t="str">
        <f t="shared" si="2"/>
        <v>Bulk Order</v>
      </c>
    </row>
    <row r="161" spans="1:12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t="str">
        <f t="shared" si="2"/>
        <v>Medium Order</v>
      </c>
    </row>
    <row r="162" spans="1:12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t="str">
        <f t="shared" si="2"/>
        <v>Regular Order</v>
      </c>
    </row>
    <row r="163" spans="1:12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t="str">
        <f t="shared" si="2"/>
        <v>Regular Order</v>
      </c>
    </row>
    <row r="164" spans="1:12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t="str">
        <f t="shared" si="2"/>
        <v>Medium Order</v>
      </c>
    </row>
    <row r="165" spans="1:12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t="str">
        <f t="shared" si="2"/>
        <v>Medium Order</v>
      </c>
    </row>
    <row r="166" spans="1:12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t="str">
        <f t="shared" si="2"/>
        <v>Regular Order</v>
      </c>
    </row>
    <row r="167" spans="1:12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t="str">
        <f t="shared" si="2"/>
        <v>Regular Order</v>
      </c>
    </row>
    <row r="168" spans="1:12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t="str">
        <f t="shared" si="2"/>
        <v>Bulk Order</v>
      </c>
    </row>
    <row r="169" spans="1:12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t="str">
        <f t="shared" si="2"/>
        <v>Bulk Order</v>
      </c>
    </row>
    <row r="170" spans="1:12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t="str">
        <f t="shared" si="2"/>
        <v>Medium Order</v>
      </c>
    </row>
    <row r="171" spans="1:12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t="str">
        <f t="shared" si="2"/>
        <v>Medium Order</v>
      </c>
    </row>
    <row r="172" spans="1:12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t="str">
        <f t="shared" si="2"/>
        <v>Bulk Order</v>
      </c>
    </row>
    <row r="173" spans="1:12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t="str">
        <f t="shared" si="2"/>
        <v>Medium Order</v>
      </c>
    </row>
    <row r="174" spans="1:12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t="str">
        <f t="shared" si="2"/>
        <v>Bulk Order</v>
      </c>
    </row>
    <row r="175" spans="1:12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t="str">
        <f t="shared" si="2"/>
        <v>Medium Order</v>
      </c>
    </row>
    <row r="176" spans="1:12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t="str">
        <f t="shared" si="2"/>
        <v>Medium Order</v>
      </c>
    </row>
    <row r="177" spans="1:12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t="str">
        <f t="shared" si="2"/>
        <v>Bulk Order</v>
      </c>
    </row>
    <row r="178" spans="1:12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t="str">
        <f t="shared" si="2"/>
        <v>Medium Order</v>
      </c>
    </row>
    <row r="179" spans="1:12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t="str">
        <f t="shared" si="2"/>
        <v>Medium Order</v>
      </c>
    </row>
    <row r="180" spans="1:12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t="str">
        <f t="shared" si="2"/>
        <v>Medium Order</v>
      </c>
    </row>
    <row r="181" spans="1:12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t="str">
        <f t="shared" si="2"/>
        <v>Regular Order</v>
      </c>
    </row>
    <row r="182" spans="1:12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t="str">
        <f t="shared" si="2"/>
        <v>Regular Order</v>
      </c>
    </row>
    <row r="183" spans="1:12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t="str">
        <f t="shared" si="2"/>
        <v>Medium Order</v>
      </c>
    </row>
    <row r="184" spans="1:12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t="str">
        <f t="shared" si="2"/>
        <v>Regular Order</v>
      </c>
    </row>
    <row r="185" spans="1:12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t="str">
        <f t="shared" si="2"/>
        <v>Medium Order</v>
      </c>
    </row>
    <row r="186" spans="1:12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t="str">
        <f t="shared" si="2"/>
        <v>Bulk Order</v>
      </c>
    </row>
    <row r="187" spans="1:12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t="str">
        <f t="shared" si="2"/>
        <v>Medium Order</v>
      </c>
    </row>
    <row r="188" spans="1:12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t="str">
        <f t="shared" si="2"/>
        <v>Bulk Order</v>
      </c>
    </row>
    <row r="189" spans="1:12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t="str">
        <f t="shared" si="2"/>
        <v>Medium Order</v>
      </c>
    </row>
    <row r="190" spans="1:12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t="str">
        <f t="shared" si="2"/>
        <v>Medium Order</v>
      </c>
    </row>
    <row r="191" spans="1:12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t="str">
        <f t="shared" si="2"/>
        <v>Regular Order</v>
      </c>
    </row>
    <row r="192" spans="1:12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t="str">
        <f t="shared" si="2"/>
        <v>Medium Order</v>
      </c>
    </row>
    <row r="193" spans="1:12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t="str">
        <f t="shared" si="2"/>
        <v>Bulk Order</v>
      </c>
    </row>
    <row r="194" spans="1:12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t="str">
        <f t="shared" si="2"/>
        <v>Bulk Order</v>
      </c>
    </row>
    <row r="195" spans="1:12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t="str">
        <f t="shared" ref="L195:L258" si="3">IF(F195&gt;=15, "Bulk Order",IF(F195&gt;=5, "Medium Order",  "Regular Order"))</f>
        <v>Medium Order</v>
      </c>
    </row>
    <row r="196" spans="1:12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t="str">
        <f t="shared" si="3"/>
        <v>Bulk Order</v>
      </c>
    </row>
    <row r="197" spans="1:12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t="str">
        <f t="shared" si="3"/>
        <v>Bulk Order</v>
      </c>
    </row>
    <row r="198" spans="1:12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t="str">
        <f t="shared" si="3"/>
        <v>Medium Order</v>
      </c>
    </row>
    <row r="199" spans="1:12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t="str">
        <f t="shared" si="3"/>
        <v>Medium Order</v>
      </c>
    </row>
    <row r="200" spans="1:12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t="str">
        <f t="shared" si="3"/>
        <v>Regular Order</v>
      </c>
    </row>
    <row r="201" spans="1:12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t="str">
        <f t="shared" si="3"/>
        <v>Medium Order</v>
      </c>
    </row>
    <row r="202" spans="1:12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t="str">
        <f t="shared" si="3"/>
        <v>Bulk Order</v>
      </c>
    </row>
    <row r="203" spans="1:12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t="str">
        <f t="shared" si="3"/>
        <v>Regular Order</v>
      </c>
    </row>
    <row r="204" spans="1:12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t="str">
        <f t="shared" si="3"/>
        <v>Bulk Order</v>
      </c>
    </row>
    <row r="205" spans="1:12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t="str">
        <f t="shared" si="3"/>
        <v>Medium Order</v>
      </c>
    </row>
    <row r="206" spans="1:12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t="str">
        <f t="shared" si="3"/>
        <v>Regular Order</v>
      </c>
    </row>
    <row r="207" spans="1:12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t="str">
        <f t="shared" si="3"/>
        <v>Medium Order</v>
      </c>
    </row>
    <row r="208" spans="1:12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t="str">
        <f t="shared" si="3"/>
        <v>Medium Order</v>
      </c>
    </row>
    <row r="209" spans="1:12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t="str">
        <f t="shared" si="3"/>
        <v>Medium Order</v>
      </c>
    </row>
    <row r="210" spans="1:12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t="str">
        <f t="shared" si="3"/>
        <v>Bulk Order</v>
      </c>
    </row>
    <row r="211" spans="1:12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t="str">
        <f t="shared" si="3"/>
        <v>Medium Order</v>
      </c>
    </row>
    <row r="212" spans="1:12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t="str">
        <f t="shared" si="3"/>
        <v>Regular Order</v>
      </c>
    </row>
    <row r="213" spans="1:12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t="str">
        <f t="shared" si="3"/>
        <v>Medium Order</v>
      </c>
    </row>
    <row r="214" spans="1:12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t="str">
        <f t="shared" si="3"/>
        <v>Bulk Order</v>
      </c>
    </row>
    <row r="215" spans="1:12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t="str">
        <f t="shared" si="3"/>
        <v>Bulk Order</v>
      </c>
    </row>
    <row r="216" spans="1:12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t="str">
        <f t="shared" si="3"/>
        <v>Medium Order</v>
      </c>
    </row>
    <row r="217" spans="1:12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t="str">
        <f t="shared" si="3"/>
        <v>Medium Order</v>
      </c>
    </row>
    <row r="218" spans="1:12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t="str">
        <f t="shared" si="3"/>
        <v>Bulk Order</v>
      </c>
    </row>
    <row r="219" spans="1:12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t="str">
        <f t="shared" si="3"/>
        <v>Regular Order</v>
      </c>
    </row>
    <row r="220" spans="1:12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t="str">
        <f t="shared" si="3"/>
        <v>Regular Order</v>
      </c>
    </row>
    <row r="221" spans="1:12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t="str">
        <f t="shared" si="3"/>
        <v>Regular Order</v>
      </c>
    </row>
    <row r="222" spans="1:12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t="str">
        <f t="shared" si="3"/>
        <v>Bulk Order</v>
      </c>
    </row>
    <row r="223" spans="1:12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t="str">
        <f t="shared" si="3"/>
        <v>Medium Order</v>
      </c>
    </row>
    <row r="224" spans="1:12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t="str">
        <f t="shared" si="3"/>
        <v>Regular Order</v>
      </c>
    </row>
    <row r="225" spans="1:12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t="str">
        <f t="shared" si="3"/>
        <v>Bulk Order</v>
      </c>
    </row>
    <row r="226" spans="1:12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t="str">
        <f t="shared" si="3"/>
        <v>Bulk Order</v>
      </c>
    </row>
    <row r="227" spans="1:12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t="str">
        <f t="shared" si="3"/>
        <v>Medium Order</v>
      </c>
    </row>
    <row r="228" spans="1:12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t="str">
        <f t="shared" si="3"/>
        <v>Bulk Order</v>
      </c>
    </row>
    <row r="229" spans="1:12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t="str">
        <f t="shared" si="3"/>
        <v>Bulk Order</v>
      </c>
    </row>
    <row r="230" spans="1:12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t="str">
        <f t="shared" si="3"/>
        <v>Medium Order</v>
      </c>
    </row>
    <row r="231" spans="1:12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t="str">
        <f t="shared" si="3"/>
        <v>Medium Order</v>
      </c>
    </row>
    <row r="232" spans="1:12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t="str">
        <f t="shared" si="3"/>
        <v>Medium Order</v>
      </c>
    </row>
    <row r="233" spans="1:12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t="str">
        <f t="shared" si="3"/>
        <v>Regular Order</v>
      </c>
    </row>
    <row r="234" spans="1:12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t="str">
        <f t="shared" si="3"/>
        <v>Bulk Order</v>
      </c>
    </row>
    <row r="235" spans="1:12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t="str">
        <f t="shared" si="3"/>
        <v>Regular Order</v>
      </c>
    </row>
    <row r="236" spans="1:12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t="str">
        <f t="shared" si="3"/>
        <v>Bulk Order</v>
      </c>
    </row>
    <row r="237" spans="1:12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t="str">
        <f t="shared" si="3"/>
        <v>Medium Order</v>
      </c>
    </row>
    <row r="238" spans="1:12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t="str">
        <f t="shared" si="3"/>
        <v>Medium Order</v>
      </c>
    </row>
    <row r="239" spans="1:12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t="str">
        <f t="shared" si="3"/>
        <v>Medium Order</v>
      </c>
    </row>
    <row r="240" spans="1:12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t="str">
        <f t="shared" si="3"/>
        <v>Regular Order</v>
      </c>
    </row>
    <row r="241" spans="1:12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t="str">
        <f t="shared" si="3"/>
        <v>Regular Order</v>
      </c>
    </row>
    <row r="242" spans="1:12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t="str">
        <f t="shared" si="3"/>
        <v>Regular Order</v>
      </c>
    </row>
    <row r="243" spans="1:12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t="str">
        <f t="shared" si="3"/>
        <v>Medium Order</v>
      </c>
    </row>
    <row r="244" spans="1:12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t="str">
        <f t="shared" si="3"/>
        <v>Medium Order</v>
      </c>
    </row>
    <row r="245" spans="1:12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t="str">
        <f t="shared" si="3"/>
        <v>Medium Order</v>
      </c>
    </row>
    <row r="246" spans="1:12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t="str">
        <f t="shared" si="3"/>
        <v>Bulk Order</v>
      </c>
    </row>
    <row r="247" spans="1:12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t="str">
        <f t="shared" si="3"/>
        <v>Medium Order</v>
      </c>
    </row>
    <row r="248" spans="1:12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t="str">
        <f t="shared" si="3"/>
        <v>Medium Order</v>
      </c>
    </row>
    <row r="249" spans="1:12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t="str">
        <f t="shared" si="3"/>
        <v>Medium Order</v>
      </c>
    </row>
    <row r="250" spans="1:12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t="str">
        <f t="shared" si="3"/>
        <v>Bulk Order</v>
      </c>
    </row>
    <row r="251" spans="1:12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t="str">
        <f t="shared" si="3"/>
        <v>Regular Order</v>
      </c>
    </row>
    <row r="252" spans="1:12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t="str">
        <f t="shared" si="3"/>
        <v>Bulk Order</v>
      </c>
    </row>
    <row r="253" spans="1:12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t="str">
        <f t="shared" si="3"/>
        <v>Bulk Order</v>
      </c>
    </row>
    <row r="254" spans="1:12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t="str">
        <f t="shared" si="3"/>
        <v>Bulk Order</v>
      </c>
    </row>
    <row r="255" spans="1:12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t="str">
        <f t="shared" si="3"/>
        <v>Bulk Order</v>
      </c>
    </row>
    <row r="256" spans="1:12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t="str">
        <f t="shared" si="3"/>
        <v>Regular Order</v>
      </c>
    </row>
    <row r="257" spans="1:12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t="str">
        <f t="shared" si="3"/>
        <v>Bulk Order</v>
      </c>
    </row>
    <row r="258" spans="1:12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t="str">
        <f t="shared" si="3"/>
        <v>Medium Order</v>
      </c>
    </row>
    <row r="259" spans="1:12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t="str">
        <f t="shared" ref="L259:L322" si="4">IF(F259&gt;=15, "Bulk Order",IF(F259&gt;=5, "Medium Order",  "Regular Order"))</f>
        <v>Regular Order</v>
      </c>
    </row>
    <row r="260" spans="1:12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t="str">
        <f t="shared" si="4"/>
        <v>Medium Order</v>
      </c>
    </row>
    <row r="261" spans="1:12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t="str">
        <f t="shared" si="4"/>
        <v>Bulk Order</v>
      </c>
    </row>
    <row r="262" spans="1:12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t="str">
        <f t="shared" si="4"/>
        <v>Bulk Order</v>
      </c>
    </row>
    <row r="263" spans="1:12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t="str">
        <f t="shared" si="4"/>
        <v>Medium Order</v>
      </c>
    </row>
    <row r="264" spans="1:12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t="str">
        <f t="shared" si="4"/>
        <v>Medium Order</v>
      </c>
    </row>
    <row r="265" spans="1:12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t="str">
        <f t="shared" si="4"/>
        <v>Bulk Order</v>
      </c>
    </row>
    <row r="266" spans="1:12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t="str">
        <f t="shared" si="4"/>
        <v>Regular Order</v>
      </c>
    </row>
    <row r="267" spans="1:12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t="str">
        <f t="shared" si="4"/>
        <v>Bulk Order</v>
      </c>
    </row>
    <row r="268" spans="1:12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t="str">
        <f t="shared" si="4"/>
        <v>Regular Order</v>
      </c>
    </row>
    <row r="269" spans="1:12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t="str">
        <f t="shared" si="4"/>
        <v>Medium Order</v>
      </c>
    </row>
    <row r="270" spans="1:12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t="str">
        <f t="shared" si="4"/>
        <v>Medium Order</v>
      </c>
    </row>
    <row r="271" spans="1:12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t="str">
        <f t="shared" si="4"/>
        <v>Bulk Order</v>
      </c>
    </row>
    <row r="272" spans="1:12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t="str">
        <f t="shared" si="4"/>
        <v>Bulk Order</v>
      </c>
    </row>
    <row r="273" spans="1:12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t="str">
        <f t="shared" si="4"/>
        <v>Medium Order</v>
      </c>
    </row>
    <row r="274" spans="1:12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t="str">
        <f t="shared" si="4"/>
        <v>Medium Order</v>
      </c>
    </row>
    <row r="275" spans="1:12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t="str">
        <f t="shared" si="4"/>
        <v>Medium Order</v>
      </c>
    </row>
    <row r="276" spans="1:12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t="str">
        <f t="shared" si="4"/>
        <v>Bulk Order</v>
      </c>
    </row>
    <row r="277" spans="1:12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t="str">
        <f t="shared" si="4"/>
        <v>Regular Order</v>
      </c>
    </row>
    <row r="278" spans="1:12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t="str">
        <f t="shared" si="4"/>
        <v>Medium Order</v>
      </c>
    </row>
    <row r="279" spans="1:12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t="str">
        <f t="shared" si="4"/>
        <v>Regular Order</v>
      </c>
    </row>
    <row r="280" spans="1:12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t="str">
        <f t="shared" si="4"/>
        <v>Bulk Order</v>
      </c>
    </row>
    <row r="281" spans="1:12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t="str">
        <f t="shared" si="4"/>
        <v>Medium Order</v>
      </c>
    </row>
    <row r="282" spans="1:12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t="str">
        <f t="shared" si="4"/>
        <v>Medium Order</v>
      </c>
    </row>
    <row r="283" spans="1:12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t="str">
        <f t="shared" si="4"/>
        <v>Medium Order</v>
      </c>
    </row>
    <row r="284" spans="1:12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t="str">
        <f t="shared" si="4"/>
        <v>Medium Order</v>
      </c>
    </row>
    <row r="285" spans="1:12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t="str">
        <f t="shared" si="4"/>
        <v>Bulk Order</v>
      </c>
    </row>
    <row r="286" spans="1:12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t="str">
        <f t="shared" si="4"/>
        <v>Medium Order</v>
      </c>
    </row>
    <row r="287" spans="1:12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t="str">
        <f t="shared" si="4"/>
        <v>Medium Order</v>
      </c>
    </row>
    <row r="288" spans="1:12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t="str">
        <f t="shared" si="4"/>
        <v>Bulk Order</v>
      </c>
    </row>
    <row r="289" spans="1:12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t="str">
        <f t="shared" si="4"/>
        <v>Medium Order</v>
      </c>
    </row>
    <row r="290" spans="1:12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t="str">
        <f t="shared" si="4"/>
        <v>Bulk Order</v>
      </c>
    </row>
    <row r="291" spans="1:12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t="str">
        <f t="shared" si="4"/>
        <v>Regular Order</v>
      </c>
    </row>
    <row r="292" spans="1:12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t="str">
        <f t="shared" si="4"/>
        <v>Bulk Order</v>
      </c>
    </row>
    <row r="293" spans="1:12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t="str">
        <f t="shared" si="4"/>
        <v>Medium Order</v>
      </c>
    </row>
    <row r="294" spans="1:12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t="str">
        <f t="shared" si="4"/>
        <v>Medium Order</v>
      </c>
    </row>
    <row r="295" spans="1:12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t="str">
        <f t="shared" si="4"/>
        <v>Medium Order</v>
      </c>
    </row>
    <row r="296" spans="1:12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t="str">
        <f t="shared" si="4"/>
        <v>Bulk Order</v>
      </c>
    </row>
    <row r="297" spans="1:12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t="str">
        <f t="shared" si="4"/>
        <v>Medium Order</v>
      </c>
    </row>
    <row r="298" spans="1:12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t="str">
        <f t="shared" si="4"/>
        <v>Medium Order</v>
      </c>
    </row>
    <row r="299" spans="1:12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t="str">
        <f t="shared" si="4"/>
        <v>Bulk Order</v>
      </c>
    </row>
    <row r="300" spans="1:12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t="str">
        <f t="shared" si="4"/>
        <v>Medium Order</v>
      </c>
    </row>
    <row r="301" spans="1:12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t="str">
        <f t="shared" si="4"/>
        <v>Bulk Order</v>
      </c>
    </row>
    <row r="302" spans="1:12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t="str">
        <f t="shared" si="4"/>
        <v>Regular Order</v>
      </c>
    </row>
    <row r="303" spans="1:12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t="str">
        <f t="shared" si="4"/>
        <v>Medium Order</v>
      </c>
    </row>
    <row r="304" spans="1:12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t="str">
        <f t="shared" si="4"/>
        <v>Medium Order</v>
      </c>
    </row>
    <row r="305" spans="1:12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t="str">
        <f t="shared" si="4"/>
        <v>Bulk Order</v>
      </c>
    </row>
    <row r="306" spans="1:12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t="str">
        <f t="shared" si="4"/>
        <v>Bulk Order</v>
      </c>
    </row>
    <row r="307" spans="1:12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t="str">
        <f t="shared" si="4"/>
        <v>Regular Order</v>
      </c>
    </row>
    <row r="308" spans="1:12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t="str">
        <f t="shared" si="4"/>
        <v>Bulk Order</v>
      </c>
    </row>
    <row r="309" spans="1:12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t="str">
        <f t="shared" si="4"/>
        <v>Medium Order</v>
      </c>
    </row>
    <row r="310" spans="1:12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t="str">
        <f t="shared" si="4"/>
        <v>Regular Order</v>
      </c>
    </row>
    <row r="311" spans="1:12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t="str">
        <f t="shared" si="4"/>
        <v>Bulk Order</v>
      </c>
    </row>
    <row r="312" spans="1:12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t="str">
        <f t="shared" si="4"/>
        <v>Regular Order</v>
      </c>
    </row>
    <row r="313" spans="1:12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t="str">
        <f t="shared" si="4"/>
        <v>Bulk Order</v>
      </c>
    </row>
    <row r="314" spans="1:12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t="str">
        <f t="shared" si="4"/>
        <v>Medium Order</v>
      </c>
    </row>
    <row r="315" spans="1:12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t="str">
        <f t="shared" si="4"/>
        <v>Medium Order</v>
      </c>
    </row>
    <row r="316" spans="1:12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t="str">
        <f t="shared" si="4"/>
        <v>Medium Order</v>
      </c>
    </row>
    <row r="317" spans="1:12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t="str">
        <f t="shared" si="4"/>
        <v>Medium Order</v>
      </c>
    </row>
    <row r="318" spans="1:12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t="str">
        <f t="shared" si="4"/>
        <v>Medium Order</v>
      </c>
    </row>
    <row r="319" spans="1:12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t="str">
        <f t="shared" si="4"/>
        <v>Regular Order</v>
      </c>
    </row>
    <row r="320" spans="1:12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t="str">
        <f t="shared" si="4"/>
        <v>Bulk Order</v>
      </c>
    </row>
    <row r="321" spans="1:12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t="str">
        <f t="shared" si="4"/>
        <v>Bulk Order</v>
      </c>
    </row>
    <row r="322" spans="1:12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t="str">
        <f t="shared" si="4"/>
        <v>Medium Order</v>
      </c>
    </row>
    <row r="323" spans="1:12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t="str">
        <f t="shared" ref="L323:L386" si="5">IF(F323&gt;=15, "Bulk Order",IF(F323&gt;=5, "Medium Order",  "Regular Order"))</f>
        <v>Medium Order</v>
      </c>
    </row>
    <row r="324" spans="1:12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t="str">
        <f t="shared" si="5"/>
        <v>Regular Order</v>
      </c>
    </row>
    <row r="325" spans="1:12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t="str">
        <f t="shared" si="5"/>
        <v>Regular Order</v>
      </c>
    </row>
    <row r="326" spans="1:12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t="str">
        <f t="shared" si="5"/>
        <v>Medium Order</v>
      </c>
    </row>
    <row r="327" spans="1:12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t="str">
        <f t="shared" si="5"/>
        <v>Bulk Order</v>
      </c>
    </row>
    <row r="328" spans="1:12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t="str">
        <f t="shared" si="5"/>
        <v>Bulk Order</v>
      </c>
    </row>
    <row r="329" spans="1:12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t="str">
        <f t="shared" si="5"/>
        <v>Regular Order</v>
      </c>
    </row>
    <row r="330" spans="1:12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t="str">
        <f t="shared" si="5"/>
        <v>Bulk Order</v>
      </c>
    </row>
    <row r="331" spans="1:12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t="str">
        <f t="shared" si="5"/>
        <v>Medium Order</v>
      </c>
    </row>
    <row r="332" spans="1:12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t="str">
        <f t="shared" si="5"/>
        <v>Regular Order</v>
      </c>
    </row>
    <row r="333" spans="1:12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t="str">
        <f t="shared" si="5"/>
        <v>Medium Order</v>
      </c>
    </row>
    <row r="334" spans="1:12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t="str">
        <f t="shared" si="5"/>
        <v>Bulk Order</v>
      </c>
    </row>
    <row r="335" spans="1:12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t="str">
        <f t="shared" si="5"/>
        <v>Bulk Order</v>
      </c>
    </row>
    <row r="336" spans="1:12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t="str">
        <f t="shared" si="5"/>
        <v>Medium Order</v>
      </c>
    </row>
    <row r="337" spans="1:12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t="str">
        <f t="shared" si="5"/>
        <v>Medium Order</v>
      </c>
    </row>
    <row r="338" spans="1:12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t="str">
        <f t="shared" si="5"/>
        <v>Medium Order</v>
      </c>
    </row>
    <row r="339" spans="1:12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t="str">
        <f t="shared" si="5"/>
        <v>Medium Order</v>
      </c>
    </row>
    <row r="340" spans="1:12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t="str">
        <f t="shared" si="5"/>
        <v>Medium Order</v>
      </c>
    </row>
    <row r="341" spans="1:12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t="str">
        <f t="shared" si="5"/>
        <v>Medium Order</v>
      </c>
    </row>
    <row r="342" spans="1:12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t="str">
        <f t="shared" si="5"/>
        <v>Bulk Order</v>
      </c>
    </row>
    <row r="343" spans="1:12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t="str">
        <f t="shared" si="5"/>
        <v>Medium Order</v>
      </c>
    </row>
    <row r="344" spans="1:12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t="str">
        <f t="shared" si="5"/>
        <v>Medium Order</v>
      </c>
    </row>
    <row r="345" spans="1:12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t="str">
        <f t="shared" si="5"/>
        <v>Bulk Order</v>
      </c>
    </row>
    <row r="346" spans="1:12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t="str">
        <f t="shared" si="5"/>
        <v>Medium Order</v>
      </c>
    </row>
    <row r="347" spans="1:12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t="str">
        <f t="shared" si="5"/>
        <v>Bulk Order</v>
      </c>
    </row>
    <row r="348" spans="1:12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t="str">
        <f t="shared" si="5"/>
        <v>Bulk Order</v>
      </c>
    </row>
    <row r="349" spans="1:12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t="str">
        <f t="shared" si="5"/>
        <v>Medium Order</v>
      </c>
    </row>
    <row r="350" spans="1:12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t="str">
        <f t="shared" si="5"/>
        <v>Bulk Order</v>
      </c>
    </row>
    <row r="351" spans="1:12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t="str">
        <f t="shared" si="5"/>
        <v>Bulk Order</v>
      </c>
    </row>
    <row r="352" spans="1:12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t="str">
        <f t="shared" si="5"/>
        <v>Medium Order</v>
      </c>
    </row>
    <row r="353" spans="1:12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t="str">
        <f t="shared" si="5"/>
        <v>Medium Order</v>
      </c>
    </row>
    <row r="354" spans="1:12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t="str">
        <f t="shared" si="5"/>
        <v>Medium Order</v>
      </c>
    </row>
    <row r="355" spans="1:12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t="str">
        <f t="shared" si="5"/>
        <v>Bulk Order</v>
      </c>
    </row>
    <row r="356" spans="1:12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t="str">
        <f t="shared" si="5"/>
        <v>Bulk Order</v>
      </c>
    </row>
    <row r="357" spans="1:12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t="str">
        <f t="shared" si="5"/>
        <v>Bulk Order</v>
      </c>
    </row>
    <row r="358" spans="1:12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t="str">
        <f t="shared" si="5"/>
        <v>Medium Order</v>
      </c>
    </row>
    <row r="359" spans="1:12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t="str">
        <f t="shared" si="5"/>
        <v>Medium Order</v>
      </c>
    </row>
    <row r="360" spans="1:12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t="str">
        <f t="shared" si="5"/>
        <v>Medium Order</v>
      </c>
    </row>
    <row r="361" spans="1:12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t="str">
        <f t="shared" si="5"/>
        <v>Bulk Order</v>
      </c>
    </row>
    <row r="362" spans="1:12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t="str">
        <f t="shared" si="5"/>
        <v>Regular Order</v>
      </c>
    </row>
    <row r="363" spans="1:12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t="str">
        <f t="shared" si="5"/>
        <v>Regular Order</v>
      </c>
    </row>
    <row r="364" spans="1:12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t="str">
        <f t="shared" si="5"/>
        <v>Medium Order</v>
      </c>
    </row>
    <row r="365" spans="1:12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t="str">
        <f t="shared" si="5"/>
        <v>Bulk Order</v>
      </c>
    </row>
    <row r="366" spans="1:12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t="str">
        <f t="shared" si="5"/>
        <v>Bulk Order</v>
      </c>
    </row>
    <row r="367" spans="1:12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t="str">
        <f t="shared" si="5"/>
        <v>Bulk Order</v>
      </c>
    </row>
    <row r="368" spans="1:12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t="str">
        <f t="shared" si="5"/>
        <v>Regular Order</v>
      </c>
    </row>
    <row r="369" spans="1:12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t="str">
        <f t="shared" si="5"/>
        <v>Medium Order</v>
      </c>
    </row>
    <row r="370" spans="1:12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t="str">
        <f t="shared" si="5"/>
        <v>Bulk Order</v>
      </c>
    </row>
    <row r="371" spans="1:12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t="str">
        <f t="shared" si="5"/>
        <v>Medium Order</v>
      </c>
    </row>
    <row r="372" spans="1:12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t="str">
        <f t="shared" si="5"/>
        <v>Bulk Order</v>
      </c>
    </row>
    <row r="373" spans="1:12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t="str">
        <f t="shared" si="5"/>
        <v>Medium Order</v>
      </c>
    </row>
    <row r="374" spans="1:12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t="str">
        <f t="shared" si="5"/>
        <v>Medium Order</v>
      </c>
    </row>
    <row r="375" spans="1:12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t="str">
        <f t="shared" si="5"/>
        <v>Medium Order</v>
      </c>
    </row>
    <row r="376" spans="1:12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t="str">
        <f t="shared" si="5"/>
        <v>Bulk Order</v>
      </c>
    </row>
    <row r="377" spans="1:12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t="str">
        <f t="shared" si="5"/>
        <v>Bulk Order</v>
      </c>
    </row>
    <row r="378" spans="1:12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t="str">
        <f t="shared" si="5"/>
        <v>Regular Order</v>
      </c>
    </row>
    <row r="379" spans="1:12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t="str">
        <f t="shared" si="5"/>
        <v>Bulk Order</v>
      </c>
    </row>
    <row r="380" spans="1:12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t="str">
        <f t="shared" si="5"/>
        <v>Medium Order</v>
      </c>
    </row>
    <row r="381" spans="1:12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t="str">
        <f t="shared" si="5"/>
        <v>Regular Order</v>
      </c>
    </row>
    <row r="382" spans="1:12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t="str">
        <f t="shared" si="5"/>
        <v>Medium Order</v>
      </c>
    </row>
    <row r="383" spans="1:12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t="str">
        <f t="shared" si="5"/>
        <v>Medium Order</v>
      </c>
    </row>
    <row r="384" spans="1:12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t="str">
        <f t="shared" si="5"/>
        <v>Medium Order</v>
      </c>
    </row>
    <row r="385" spans="1:12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t="str">
        <f t="shared" si="5"/>
        <v>Bulk Order</v>
      </c>
    </row>
    <row r="386" spans="1:12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t="str">
        <f t="shared" si="5"/>
        <v>Medium Order</v>
      </c>
    </row>
    <row r="387" spans="1:12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t="str">
        <f t="shared" ref="L387:L401" si="6">IF(F387&gt;=15, "Bulk Order",IF(F387&gt;=5, "Medium Order",  "Regular Order"))</f>
        <v>Medium Order</v>
      </c>
    </row>
    <row r="388" spans="1:12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t="str">
        <f t="shared" si="6"/>
        <v>Medium Order</v>
      </c>
    </row>
    <row r="389" spans="1:12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t="str">
        <f t="shared" si="6"/>
        <v>Medium Order</v>
      </c>
    </row>
    <row r="390" spans="1:12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t="str">
        <f t="shared" si="6"/>
        <v>Regular Order</v>
      </c>
    </row>
    <row r="391" spans="1:12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t="str">
        <f t="shared" si="6"/>
        <v>Medium Order</v>
      </c>
    </row>
    <row r="392" spans="1:12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t="str">
        <f t="shared" si="6"/>
        <v>Medium Order</v>
      </c>
    </row>
    <row r="393" spans="1:12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t="str">
        <f t="shared" si="6"/>
        <v>Medium Order</v>
      </c>
    </row>
    <row r="394" spans="1:12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t="str">
        <f t="shared" si="6"/>
        <v>Bulk Order</v>
      </c>
    </row>
    <row r="395" spans="1:12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t="str">
        <f t="shared" si="6"/>
        <v>Medium Order</v>
      </c>
    </row>
    <row r="396" spans="1:12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t="str">
        <f t="shared" si="6"/>
        <v>Bulk Order</v>
      </c>
    </row>
    <row r="397" spans="1:12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t="str">
        <f t="shared" si="6"/>
        <v>Medium Order</v>
      </c>
    </row>
    <row r="398" spans="1:12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t="str">
        <f t="shared" si="6"/>
        <v>Regular Order</v>
      </c>
    </row>
    <row r="399" spans="1:12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t="str">
        <f t="shared" si="6"/>
        <v>Medium Order</v>
      </c>
    </row>
    <row r="400" spans="1:12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t="str">
        <f t="shared" si="6"/>
        <v>Bulk Order</v>
      </c>
    </row>
    <row r="401" spans="1:12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t="str">
        <f t="shared" si="6"/>
        <v>Medium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03E6-FCE4-4316-ABAF-AE4F35F32F0E}">
  <dimension ref="A1:L401"/>
  <sheetViews>
    <sheetView workbookViewId="0">
      <selection activeCell="P396" sqref="P396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7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68</v>
      </c>
    </row>
    <row r="2" spans="1:12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t="str">
        <f>IF(AND(D1="electronics", H1&gt;=10), "Eligible", "Not Eligible")</f>
        <v>Not Eligible</v>
      </c>
    </row>
    <row r="3" spans="1:12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t="str">
        <f t="shared" ref="L3:L66" si="0">IF(AND(D2="electronics", H2&gt;=10), "Eligible", "Not Eligible")</f>
        <v>Not Eligible</v>
      </c>
    </row>
    <row r="4" spans="1:12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t="str">
        <f t="shared" si="0"/>
        <v>Not Eligible</v>
      </c>
    </row>
    <row r="5" spans="1:12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t="str">
        <f t="shared" si="0"/>
        <v>Not Eligible</v>
      </c>
    </row>
    <row r="6" spans="1:12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t="str">
        <f t="shared" si="0"/>
        <v>Not Eligible</v>
      </c>
    </row>
    <row r="7" spans="1:12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t="str">
        <f t="shared" si="0"/>
        <v>Not Eligible</v>
      </c>
    </row>
    <row r="8" spans="1:12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t="str">
        <f t="shared" si="0"/>
        <v>Not Eligible</v>
      </c>
    </row>
    <row r="9" spans="1:12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t="str">
        <f t="shared" si="0"/>
        <v>Not Eligible</v>
      </c>
    </row>
    <row r="10" spans="1:12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t="str">
        <f t="shared" si="0"/>
        <v>Not Eligible</v>
      </c>
    </row>
    <row r="11" spans="1:12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t="str">
        <f t="shared" si="0"/>
        <v>Eligible</v>
      </c>
    </row>
    <row r="12" spans="1:12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t="str">
        <f t="shared" si="0"/>
        <v>Not Eligible</v>
      </c>
    </row>
    <row r="13" spans="1:12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t="str">
        <f t="shared" si="0"/>
        <v>Not Eligible</v>
      </c>
    </row>
    <row r="14" spans="1:12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t="str">
        <f t="shared" si="0"/>
        <v>Eligible</v>
      </c>
    </row>
    <row r="15" spans="1:12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t="str">
        <f t="shared" si="0"/>
        <v>Not Eligible</v>
      </c>
    </row>
    <row r="16" spans="1:12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t="str">
        <f t="shared" si="0"/>
        <v>Eligible</v>
      </c>
    </row>
    <row r="17" spans="1:12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t="str">
        <f t="shared" si="0"/>
        <v>Not Eligible</v>
      </c>
    </row>
    <row r="18" spans="1:12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t="str">
        <f t="shared" si="0"/>
        <v>Eligible</v>
      </c>
    </row>
    <row r="19" spans="1:12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t="str">
        <f t="shared" si="0"/>
        <v>Not Eligible</v>
      </c>
    </row>
    <row r="20" spans="1:12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t="str">
        <f t="shared" si="0"/>
        <v>Not Eligible</v>
      </c>
    </row>
    <row r="21" spans="1:12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t="str">
        <f t="shared" si="0"/>
        <v>Eligible</v>
      </c>
    </row>
    <row r="22" spans="1:12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t="str">
        <f t="shared" si="0"/>
        <v>Not Eligible</v>
      </c>
    </row>
    <row r="23" spans="1:12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t="str">
        <f t="shared" si="0"/>
        <v>Not Eligible</v>
      </c>
    </row>
    <row r="24" spans="1:12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t="str">
        <f t="shared" si="0"/>
        <v>Not Eligible</v>
      </c>
    </row>
    <row r="25" spans="1:12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t="str">
        <f t="shared" si="0"/>
        <v>Not Eligible</v>
      </c>
    </row>
    <row r="26" spans="1:12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t="str">
        <f t="shared" si="0"/>
        <v>Not Eligible</v>
      </c>
    </row>
    <row r="27" spans="1:12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t="str">
        <f t="shared" si="0"/>
        <v>Not Eligible</v>
      </c>
    </row>
    <row r="28" spans="1:12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t="str">
        <f t="shared" si="0"/>
        <v>Not Eligible</v>
      </c>
    </row>
    <row r="29" spans="1:12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t="str">
        <f t="shared" si="0"/>
        <v>Not Eligible</v>
      </c>
    </row>
    <row r="30" spans="1:12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t="str">
        <f t="shared" si="0"/>
        <v>Not Eligible</v>
      </c>
    </row>
    <row r="31" spans="1:12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t="str">
        <f t="shared" si="0"/>
        <v>Not Eligible</v>
      </c>
    </row>
    <row r="32" spans="1:12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t="str">
        <f t="shared" si="0"/>
        <v>Not Eligible</v>
      </c>
    </row>
    <row r="33" spans="1:12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t="str">
        <f t="shared" si="0"/>
        <v>Not Eligible</v>
      </c>
    </row>
    <row r="34" spans="1:12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t="str">
        <f t="shared" si="0"/>
        <v>Not Eligible</v>
      </c>
    </row>
    <row r="35" spans="1:12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t="str">
        <f t="shared" si="0"/>
        <v>Not Eligible</v>
      </c>
    </row>
    <row r="36" spans="1:12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t="str">
        <f t="shared" si="0"/>
        <v>Not Eligible</v>
      </c>
    </row>
    <row r="37" spans="1:12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t="str">
        <f t="shared" si="0"/>
        <v>Not Eligible</v>
      </c>
    </row>
    <row r="38" spans="1:12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t="str">
        <f t="shared" si="0"/>
        <v>Not Eligible</v>
      </c>
    </row>
    <row r="39" spans="1:12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t="str">
        <f t="shared" si="0"/>
        <v>Not Eligible</v>
      </c>
    </row>
    <row r="40" spans="1:12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t="str">
        <f t="shared" si="0"/>
        <v>Not Eligible</v>
      </c>
    </row>
    <row r="41" spans="1:12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t="str">
        <f t="shared" si="0"/>
        <v>Eligible</v>
      </c>
    </row>
    <row r="42" spans="1:12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t="str">
        <f t="shared" si="0"/>
        <v>Not Eligible</v>
      </c>
    </row>
    <row r="43" spans="1:12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t="str">
        <f t="shared" si="0"/>
        <v>Not Eligible</v>
      </c>
    </row>
    <row r="44" spans="1:12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t="str">
        <f t="shared" si="0"/>
        <v>Not Eligible</v>
      </c>
    </row>
    <row r="45" spans="1:12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t="str">
        <f t="shared" si="0"/>
        <v>Not Eligible</v>
      </c>
    </row>
    <row r="46" spans="1:12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t="str">
        <f t="shared" si="0"/>
        <v>Not Eligible</v>
      </c>
    </row>
    <row r="47" spans="1:12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t="str">
        <f t="shared" si="0"/>
        <v>Not Eligible</v>
      </c>
    </row>
    <row r="48" spans="1:12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t="str">
        <f t="shared" si="0"/>
        <v>Eligible</v>
      </c>
    </row>
    <row r="49" spans="1:12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t="str">
        <f t="shared" si="0"/>
        <v>Not Eligible</v>
      </c>
    </row>
    <row r="50" spans="1:12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t="str">
        <f t="shared" si="0"/>
        <v>Not Eligible</v>
      </c>
    </row>
    <row r="51" spans="1:12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t="str">
        <f t="shared" si="0"/>
        <v>Not Eligible</v>
      </c>
    </row>
    <row r="52" spans="1:12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t="str">
        <f t="shared" si="0"/>
        <v>Not Eligible</v>
      </c>
    </row>
    <row r="53" spans="1:12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t="str">
        <f t="shared" si="0"/>
        <v>Not Eligible</v>
      </c>
    </row>
    <row r="54" spans="1:12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t="str">
        <f t="shared" si="0"/>
        <v>Not Eligible</v>
      </c>
    </row>
    <row r="55" spans="1:12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t="str">
        <f t="shared" si="0"/>
        <v>Not Eligible</v>
      </c>
    </row>
    <row r="56" spans="1:12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t="str">
        <f t="shared" si="0"/>
        <v>Not Eligible</v>
      </c>
    </row>
    <row r="57" spans="1:12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t="str">
        <f t="shared" si="0"/>
        <v>Not Eligible</v>
      </c>
    </row>
    <row r="58" spans="1:12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t="str">
        <f t="shared" si="0"/>
        <v>Not Eligible</v>
      </c>
    </row>
    <row r="59" spans="1:12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t="str">
        <f t="shared" si="0"/>
        <v>Not Eligible</v>
      </c>
    </row>
    <row r="60" spans="1:12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t="str">
        <f t="shared" si="0"/>
        <v>Not Eligible</v>
      </c>
    </row>
    <row r="61" spans="1:12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t="str">
        <f t="shared" si="0"/>
        <v>Not Eligible</v>
      </c>
    </row>
    <row r="62" spans="1:12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t="str">
        <f t="shared" si="0"/>
        <v>Not Eligible</v>
      </c>
    </row>
    <row r="63" spans="1:12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t="str">
        <f t="shared" si="0"/>
        <v>Not Eligible</v>
      </c>
    </row>
    <row r="64" spans="1:12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t="str">
        <f t="shared" si="0"/>
        <v>Not Eligible</v>
      </c>
    </row>
    <row r="65" spans="1:12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t="str">
        <f t="shared" si="0"/>
        <v>Not Eligible</v>
      </c>
    </row>
    <row r="66" spans="1:12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t="str">
        <f t="shared" si="0"/>
        <v>Not Eligible</v>
      </c>
    </row>
    <row r="67" spans="1:12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t="str">
        <f t="shared" ref="L67:L130" si="1">IF(AND(D66="electronics", H66&gt;=10), "Eligible", "Not Eligible")</f>
        <v>Not Eligible</v>
      </c>
    </row>
    <row r="68" spans="1:12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t="str">
        <f t="shared" si="1"/>
        <v>Not Eligible</v>
      </c>
    </row>
    <row r="69" spans="1:12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t="str">
        <f t="shared" si="1"/>
        <v>Not Eligible</v>
      </c>
    </row>
    <row r="70" spans="1:12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t="str">
        <f t="shared" si="1"/>
        <v>Not Eligible</v>
      </c>
    </row>
    <row r="71" spans="1:12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t="str">
        <f t="shared" si="1"/>
        <v>Not Eligible</v>
      </c>
    </row>
    <row r="72" spans="1:12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t="str">
        <f t="shared" si="1"/>
        <v>Not Eligible</v>
      </c>
    </row>
    <row r="73" spans="1:12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t="str">
        <f t="shared" si="1"/>
        <v>Not Eligible</v>
      </c>
    </row>
    <row r="74" spans="1:12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t="str">
        <f t="shared" si="1"/>
        <v>Not Eligible</v>
      </c>
    </row>
    <row r="75" spans="1:12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t="str">
        <f t="shared" si="1"/>
        <v>Not Eligible</v>
      </c>
    </row>
    <row r="76" spans="1:12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t="str">
        <f t="shared" si="1"/>
        <v>Not Eligible</v>
      </c>
    </row>
    <row r="77" spans="1:12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t="str">
        <f t="shared" si="1"/>
        <v>Eligible</v>
      </c>
    </row>
    <row r="78" spans="1:12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t="str">
        <f t="shared" si="1"/>
        <v>Not Eligible</v>
      </c>
    </row>
    <row r="79" spans="1:12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t="str">
        <f t="shared" si="1"/>
        <v>Not Eligible</v>
      </c>
    </row>
    <row r="80" spans="1:12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t="str">
        <f t="shared" si="1"/>
        <v>Eligible</v>
      </c>
    </row>
    <row r="81" spans="1:12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t="str">
        <f t="shared" si="1"/>
        <v>Eligible</v>
      </c>
    </row>
    <row r="82" spans="1:12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t="str">
        <f t="shared" si="1"/>
        <v>Eligible</v>
      </c>
    </row>
    <row r="83" spans="1:12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t="str">
        <f t="shared" si="1"/>
        <v>Not Eligible</v>
      </c>
    </row>
    <row r="84" spans="1:12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t="str">
        <f t="shared" si="1"/>
        <v>Not Eligible</v>
      </c>
    </row>
    <row r="85" spans="1:12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t="str">
        <f t="shared" si="1"/>
        <v>Not Eligible</v>
      </c>
    </row>
    <row r="86" spans="1:12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t="str">
        <f t="shared" si="1"/>
        <v>Not Eligible</v>
      </c>
    </row>
    <row r="87" spans="1:12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t="str">
        <f t="shared" si="1"/>
        <v>Eligible</v>
      </c>
    </row>
    <row r="88" spans="1:12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t="str">
        <f t="shared" si="1"/>
        <v>Not Eligible</v>
      </c>
    </row>
    <row r="89" spans="1:12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t="str">
        <f t="shared" si="1"/>
        <v>Not Eligible</v>
      </c>
    </row>
    <row r="90" spans="1:12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t="str">
        <f t="shared" si="1"/>
        <v>Not Eligible</v>
      </c>
    </row>
    <row r="91" spans="1:12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t="str">
        <f t="shared" si="1"/>
        <v>Not Eligible</v>
      </c>
    </row>
    <row r="92" spans="1:12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t="str">
        <f t="shared" si="1"/>
        <v>Not Eligible</v>
      </c>
    </row>
    <row r="93" spans="1:12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t="str">
        <f t="shared" si="1"/>
        <v>Not Eligible</v>
      </c>
    </row>
    <row r="94" spans="1:12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t="str">
        <f t="shared" si="1"/>
        <v>Not Eligible</v>
      </c>
    </row>
    <row r="95" spans="1:12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t="str">
        <f t="shared" si="1"/>
        <v>Not Eligible</v>
      </c>
    </row>
    <row r="96" spans="1:12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t="str">
        <f t="shared" si="1"/>
        <v>Not Eligible</v>
      </c>
    </row>
    <row r="97" spans="1:12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t="str">
        <f t="shared" si="1"/>
        <v>Not Eligible</v>
      </c>
    </row>
    <row r="98" spans="1:12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t="str">
        <f t="shared" si="1"/>
        <v>Not Eligible</v>
      </c>
    </row>
    <row r="99" spans="1:12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t="str">
        <f t="shared" si="1"/>
        <v>Eligible</v>
      </c>
    </row>
    <row r="100" spans="1:12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t="str">
        <f t="shared" si="1"/>
        <v>Not Eligible</v>
      </c>
    </row>
    <row r="101" spans="1:12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t="str">
        <f t="shared" si="1"/>
        <v>Not Eligible</v>
      </c>
    </row>
    <row r="102" spans="1:12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t="str">
        <f t="shared" si="1"/>
        <v>Not Eligible</v>
      </c>
    </row>
    <row r="103" spans="1:12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t="str">
        <f t="shared" si="1"/>
        <v>Eligible</v>
      </c>
    </row>
    <row r="104" spans="1:12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t="str">
        <f t="shared" si="1"/>
        <v>Not Eligible</v>
      </c>
    </row>
    <row r="105" spans="1:12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t="str">
        <f t="shared" si="1"/>
        <v>Not Eligible</v>
      </c>
    </row>
    <row r="106" spans="1:12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t="str">
        <f t="shared" si="1"/>
        <v>Not Eligible</v>
      </c>
    </row>
    <row r="107" spans="1:12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t="str">
        <f t="shared" si="1"/>
        <v>Not Eligible</v>
      </c>
    </row>
    <row r="108" spans="1:12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t="str">
        <f t="shared" si="1"/>
        <v>Not Eligible</v>
      </c>
    </row>
    <row r="109" spans="1:12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t="str">
        <f t="shared" si="1"/>
        <v>Not Eligible</v>
      </c>
    </row>
    <row r="110" spans="1:12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t="str">
        <f t="shared" si="1"/>
        <v>Not Eligible</v>
      </c>
    </row>
    <row r="111" spans="1:12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t="str">
        <f t="shared" si="1"/>
        <v>Not Eligible</v>
      </c>
    </row>
    <row r="112" spans="1:12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t="str">
        <f t="shared" si="1"/>
        <v>Not Eligible</v>
      </c>
    </row>
    <row r="113" spans="1:12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t="str">
        <f t="shared" si="1"/>
        <v>Eligible</v>
      </c>
    </row>
    <row r="114" spans="1:12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t="str">
        <f t="shared" si="1"/>
        <v>Not Eligible</v>
      </c>
    </row>
    <row r="115" spans="1:12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t="str">
        <f t="shared" si="1"/>
        <v>Not Eligible</v>
      </c>
    </row>
    <row r="116" spans="1:12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t="str">
        <f t="shared" si="1"/>
        <v>Not Eligible</v>
      </c>
    </row>
    <row r="117" spans="1:12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t="str">
        <f t="shared" si="1"/>
        <v>Not Eligible</v>
      </c>
    </row>
    <row r="118" spans="1:12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t="str">
        <f t="shared" si="1"/>
        <v>Not Eligible</v>
      </c>
    </row>
    <row r="119" spans="1:12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t="str">
        <f t="shared" si="1"/>
        <v>Not Eligible</v>
      </c>
    </row>
    <row r="120" spans="1:12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t="str">
        <f t="shared" si="1"/>
        <v>Not Eligible</v>
      </c>
    </row>
    <row r="121" spans="1:12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t="str">
        <f t="shared" si="1"/>
        <v>Not Eligible</v>
      </c>
    </row>
    <row r="122" spans="1:12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t="str">
        <f t="shared" si="1"/>
        <v>Not Eligible</v>
      </c>
    </row>
    <row r="123" spans="1:12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t="str">
        <f t="shared" si="1"/>
        <v>Not Eligible</v>
      </c>
    </row>
    <row r="124" spans="1:12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t="str">
        <f t="shared" si="1"/>
        <v>Eligible</v>
      </c>
    </row>
    <row r="125" spans="1:12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t="str">
        <f t="shared" si="1"/>
        <v>Not Eligible</v>
      </c>
    </row>
    <row r="126" spans="1:12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t="str">
        <f t="shared" si="1"/>
        <v>Not Eligible</v>
      </c>
    </row>
    <row r="127" spans="1:12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t="str">
        <f t="shared" si="1"/>
        <v>Not Eligible</v>
      </c>
    </row>
    <row r="128" spans="1:12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t="str">
        <f t="shared" si="1"/>
        <v>Eligible</v>
      </c>
    </row>
    <row r="129" spans="1:12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t="str">
        <f t="shared" si="1"/>
        <v>Not Eligible</v>
      </c>
    </row>
    <row r="130" spans="1:12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t="str">
        <f t="shared" si="1"/>
        <v>Not Eligible</v>
      </c>
    </row>
    <row r="131" spans="1:12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t="str">
        <f t="shared" ref="L131:L194" si="2">IF(AND(D130="electronics", H130&gt;=10), "Eligible", "Not Eligible")</f>
        <v>Not Eligible</v>
      </c>
    </row>
    <row r="132" spans="1:12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t="str">
        <f t="shared" si="2"/>
        <v>Not Eligible</v>
      </c>
    </row>
    <row r="133" spans="1:12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t="str">
        <f t="shared" si="2"/>
        <v>Not Eligible</v>
      </c>
    </row>
    <row r="134" spans="1:12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t="str">
        <f t="shared" si="2"/>
        <v>Not Eligible</v>
      </c>
    </row>
    <row r="135" spans="1:12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t="str">
        <f t="shared" si="2"/>
        <v>Not Eligible</v>
      </c>
    </row>
    <row r="136" spans="1:12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t="str">
        <f t="shared" si="2"/>
        <v>Eligible</v>
      </c>
    </row>
    <row r="137" spans="1:12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t="str">
        <f t="shared" si="2"/>
        <v>Not Eligible</v>
      </c>
    </row>
    <row r="138" spans="1:12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t="str">
        <f t="shared" si="2"/>
        <v>Not Eligible</v>
      </c>
    </row>
    <row r="139" spans="1:12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t="str">
        <f t="shared" si="2"/>
        <v>Not Eligible</v>
      </c>
    </row>
    <row r="140" spans="1:12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t="str">
        <f t="shared" si="2"/>
        <v>Not Eligible</v>
      </c>
    </row>
    <row r="141" spans="1:12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t="str">
        <f t="shared" si="2"/>
        <v>Eligible</v>
      </c>
    </row>
    <row r="142" spans="1:12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t="str">
        <f t="shared" si="2"/>
        <v>Not Eligible</v>
      </c>
    </row>
    <row r="143" spans="1:12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t="str">
        <f t="shared" si="2"/>
        <v>Not Eligible</v>
      </c>
    </row>
    <row r="144" spans="1:12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t="str">
        <f t="shared" si="2"/>
        <v>Not Eligible</v>
      </c>
    </row>
    <row r="145" spans="1:12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t="str">
        <f t="shared" si="2"/>
        <v>Not Eligible</v>
      </c>
    </row>
    <row r="146" spans="1:12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t="str">
        <f t="shared" si="2"/>
        <v>Not Eligible</v>
      </c>
    </row>
    <row r="147" spans="1:12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t="str">
        <f t="shared" si="2"/>
        <v>Eligible</v>
      </c>
    </row>
    <row r="148" spans="1:12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t="str">
        <f t="shared" si="2"/>
        <v>Not Eligible</v>
      </c>
    </row>
    <row r="149" spans="1:12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t="str">
        <f t="shared" si="2"/>
        <v>Not Eligible</v>
      </c>
    </row>
    <row r="150" spans="1:12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t="str">
        <f t="shared" si="2"/>
        <v>Not Eligible</v>
      </c>
    </row>
    <row r="151" spans="1:12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t="str">
        <f t="shared" si="2"/>
        <v>Not Eligible</v>
      </c>
    </row>
    <row r="152" spans="1:12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t="str">
        <f t="shared" si="2"/>
        <v>Not Eligible</v>
      </c>
    </row>
    <row r="153" spans="1:12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t="str">
        <f t="shared" si="2"/>
        <v>Not Eligible</v>
      </c>
    </row>
    <row r="154" spans="1:12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t="str">
        <f t="shared" si="2"/>
        <v>Eligible</v>
      </c>
    </row>
    <row r="155" spans="1:12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t="str">
        <f t="shared" si="2"/>
        <v>Not Eligible</v>
      </c>
    </row>
    <row r="156" spans="1:12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t="str">
        <f t="shared" si="2"/>
        <v>Not Eligible</v>
      </c>
    </row>
    <row r="157" spans="1:12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t="str">
        <f t="shared" si="2"/>
        <v>Not Eligible</v>
      </c>
    </row>
    <row r="158" spans="1:12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t="str">
        <f t="shared" si="2"/>
        <v>Not Eligible</v>
      </c>
    </row>
    <row r="159" spans="1:12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t="str">
        <f t="shared" si="2"/>
        <v>Not Eligible</v>
      </c>
    </row>
    <row r="160" spans="1:12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t="str">
        <f t="shared" si="2"/>
        <v>Not Eligible</v>
      </c>
    </row>
    <row r="161" spans="1:12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t="str">
        <f t="shared" si="2"/>
        <v>Not Eligible</v>
      </c>
    </row>
    <row r="162" spans="1:12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t="str">
        <f t="shared" si="2"/>
        <v>Eligible</v>
      </c>
    </row>
    <row r="163" spans="1:12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t="str">
        <f t="shared" si="2"/>
        <v>Not Eligible</v>
      </c>
    </row>
    <row r="164" spans="1:12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t="str">
        <f t="shared" si="2"/>
        <v>Eligible</v>
      </c>
    </row>
    <row r="165" spans="1:12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t="str">
        <f t="shared" si="2"/>
        <v>Not Eligible</v>
      </c>
    </row>
    <row r="166" spans="1:12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t="str">
        <f t="shared" si="2"/>
        <v>Eligible</v>
      </c>
    </row>
    <row r="167" spans="1:12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t="str">
        <f t="shared" si="2"/>
        <v>Not Eligible</v>
      </c>
    </row>
    <row r="168" spans="1:12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t="str">
        <f t="shared" si="2"/>
        <v>Not Eligible</v>
      </c>
    </row>
    <row r="169" spans="1:12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t="str">
        <f t="shared" si="2"/>
        <v>Not Eligible</v>
      </c>
    </row>
    <row r="170" spans="1:12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t="str">
        <f t="shared" si="2"/>
        <v>Not Eligible</v>
      </c>
    </row>
    <row r="171" spans="1:12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t="str">
        <f t="shared" si="2"/>
        <v>Not Eligible</v>
      </c>
    </row>
    <row r="172" spans="1:12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t="str">
        <f t="shared" si="2"/>
        <v>Not Eligible</v>
      </c>
    </row>
    <row r="173" spans="1:12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t="str">
        <f t="shared" si="2"/>
        <v>Not Eligible</v>
      </c>
    </row>
    <row r="174" spans="1:12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t="str">
        <f t="shared" si="2"/>
        <v>Eligible</v>
      </c>
    </row>
    <row r="175" spans="1:12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t="str">
        <f t="shared" si="2"/>
        <v>Not Eligible</v>
      </c>
    </row>
    <row r="176" spans="1:12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t="str">
        <f t="shared" si="2"/>
        <v>Not Eligible</v>
      </c>
    </row>
    <row r="177" spans="1:12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t="str">
        <f t="shared" si="2"/>
        <v>Not Eligible</v>
      </c>
    </row>
    <row r="178" spans="1:12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t="str">
        <f t="shared" si="2"/>
        <v>Eligible</v>
      </c>
    </row>
    <row r="179" spans="1:12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t="str">
        <f t="shared" si="2"/>
        <v>Not Eligible</v>
      </c>
    </row>
    <row r="180" spans="1:12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t="str">
        <f t="shared" si="2"/>
        <v>Not Eligible</v>
      </c>
    </row>
    <row r="181" spans="1:12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t="str">
        <f t="shared" si="2"/>
        <v>Not Eligible</v>
      </c>
    </row>
    <row r="182" spans="1:12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t="str">
        <f t="shared" si="2"/>
        <v>Not Eligible</v>
      </c>
    </row>
    <row r="183" spans="1:12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t="str">
        <f t="shared" si="2"/>
        <v>Not Eligible</v>
      </c>
    </row>
    <row r="184" spans="1:12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t="str">
        <f t="shared" si="2"/>
        <v>Eligible</v>
      </c>
    </row>
    <row r="185" spans="1:12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t="str">
        <f t="shared" si="2"/>
        <v>Not Eligible</v>
      </c>
    </row>
    <row r="186" spans="1:12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t="str">
        <f t="shared" si="2"/>
        <v>Eligible</v>
      </c>
    </row>
    <row r="187" spans="1:12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t="str">
        <f t="shared" si="2"/>
        <v>Not Eligible</v>
      </c>
    </row>
    <row r="188" spans="1:12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t="str">
        <f t="shared" si="2"/>
        <v>Not Eligible</v>
      </c>
    </row>
    <row r="189" spans="1:12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t="str">
        <f t="shared" si="2"/>
        <v>Eligible</v>
      </c>
    </row>
    <row r="190" spans="1:12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t="str">
        <f t="shared" si="2"/>
        <v>Not Eligible</v>
      </c>
    </row>
    <row r="191" spans="1:12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t="str">
        <f t="shared" si="2"/>
        <v>Not Eligible</v>
      </c>
    </row>
    <row r="192" spans="1:12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t="str">
        <f t="shared" si="2"/>
        <v>Not Eligible</v>
      </c>
    </row>
    <row r="193" spans="1:12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t="str">
        <f t="shared" si="2"/>
        <v>Not Eligible</v>
      </c>
    </row>
    <row r="194" spans="1:12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t="str">
        <f t="shared" si="2"/>
        <v>Not Eligible</v>
      </c>
    </row>
    <row r="195" spans="1:12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t="str">
        <f t="shared" ref="L195:L258" si="3">IF(AND(D194="electronics", H194&gt;=10), "Eligible", "Not Eligible")</f>
        <v>Not Eligible</v>
      </c>
    </row>
    <row r="196" spans="1:12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t="str">
        <f t="shared" si="3"/>
        <v>Not Eligible</v>
      </c>
    </row>
    <row r="197" spans="1:12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t="str">
        <f t="shared" si="3"/>
        <v>Not Eligible</v>
      </c>
    </row>
    <row r="198" spans="1:12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t="str">
        <f t="shared" si="3"/>
        <v>Not Eligible</v>
      </c>
    </row>
    <row r="199" spans="1:12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t="str">
        <f t="shared" si="3"/>
        <v>Eligible</v>
      </c>
    </row>
    <row r="200" spans="1:12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t="str">
        <f t="shared" si="3"/>
        <v>Not Eligible</v>
      </c>
    </row>
    <row r="201" spans="1:12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t="str">
        <f t="shared" si="3"/>
        <v>Not Eligible</v>
      </c>
    </row>
    <row r="202" spans="1:12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t="str">
        <f t="shared" si="3"/>
        <v>Not Eligible</v>
      </c>
    </row>
    <row r="203" spans="1:12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t="str">
        <f t="shared" si="3"/>
        <v>Not Eligible</v>
      </c>
    </row>
    <row r="204" spans="1:12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t="str">
        <f t="shared" si="3"/>
        <v>Eligible</v>
      </c>
    </row>
    <row r="205" spans="1:12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t="str">
        <f t="shared" si="3"/>
        <v>Not Eligible</v>
      </c>
    </row>
    <row r="206" spans="1:12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t="str">
        <f t="shared" si="3"/>
        <v>Not Eligible</v>
      </c>
    </row>
    <row r="207" spans="1:12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t="str">
        <f t="shared" si="3"/>
        <v>Not Eligible</v>
      </c>
    </row>
    <row r="208" spans="1:12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t="str">
        <f t="shared" si="3"/>
        <v>Not Eligible</v>
      </c>
    </row>
    <row r="209" spans="1:12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t="str">
        <f t="shared" si="3"/>
        <v>Not Eligible</v>
      </c>
    </row>
    <row r="210" spans="1:12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t="str">
        <f t="shared" si="3"/>
        <v>Not Eligible</v>
      </c>
    </row>
    <row r="211" spans="1:12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t="str">
        <f t="shared" si="3"/>
        <v>Eligible</v>
      </c>
    </row>
    <row r="212" spans="1:12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t="str">
        <f t="shared" si="3"/>
        <v>Not Eligible</v>
      </c>
    </row>
    <row r="213" spans="1:12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t="str">
        <f t="shared" si="3"/>
        <v>Not Eligible</v>
      </c>
    </row>
    <row r="214" spans="1:12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t="str">
        <f t="shared" si="3"/>
        <v>Not Eligible</v>
      </c>
    </row>
    <row r="215" spans="1:12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t="str">
        <f t="shared" si="3"/>
        <v>Eligible</v>
      </c>
    </row>
    <row r="216" spans="1:12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t="str">
        <f t="shared" si="3"/>
        <v>Not Eligible</v>
      </c>
    </row>
    <row r="217" spans="1:12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t="str">
        <f t="shared" si="3"/>
        <v>Not Eligible</v>
      </c>
    </row>
    <row r="218" spans="1:12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t="str">
        <f t="shared" si="3"/>
        <v>Eligible</v>
      </c>
    </row>
    <row r="219" spans="1:12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t="str">
        <f t="shared" si="3"/>
        <v>Not Eligible</v>
      </c>
    </row>
    <row r="220" spans="1:12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t="str">
        <f t="shared" si="3"/>
        <v>Not Eligible</v>
      </c>
    </row>
    <row r="221" spans="1:12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t="str">
        <f t="shared" si="3"/>
        <v>Not Eligible</v>
      </c>
    </row>
    <row r="222" spans="1:12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t="str">
        <f t="shared" si="3"/>
        <v>Not Eligible</v>
      </c>
    </row>
    <row r="223" spans="1:12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t="str">
        <f t="shared" si="3"/>
        <v>Not Eligible</v>
      </c>
    </row>
    <row r="224" spans="1:12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t="str">
        <f t="shared" si="3"/>
        <v>Not Eligible</v>
      </c>
    </row>
    <row r="225" spans="1:12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t="str">
        <f t="shared" si="3"/>
        <v>Not Eligible</v>
      </c>
    </row>
    <row r="226" spans="1:12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t="str">
        <f t="shared" si="3"/>
        <v>Eligible</v>
      </c>
    </row>
    <row r="227" spans="1:12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t="str">
        <f t="shared" si="3"/>
        <v>Eligible</v>
      </c>
    </row>
    <row r="228" spans="1:12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t="str">
        <f t="shared" si="3"/>
        <v>Not Eligible</v>
      </c>
    </row>
    <row r="229" spans="1:12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t="str">
        <f t="shared" si="3"/>
        <v>Eligible</v>
      </c>
    </row>
    <row r="230" spans="1:12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t="str">
        <f t="shared" si="3"/>
        <v>Eligible</v>
      </c>
    </row>
    <row r="231" spans="1:12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t="str">
        <f t="shared" si="3"/>
        <v>Not Eligible</v>
      </c>
    </row>
    <row r="232" spans="1:12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t="str">
        <f t="shared" si="3"/>
        <v>Not Eligible</v>
      </c>
    </row>
    <row r="233" spans="1:12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t="str">
        <f t="shared" si="3"/>
        <v>Not Eligible</v>
      </c>
    </row>
    <row r="234" spans="1:12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t="str">
        <f t="shared" si="3"/>
        <v>Not Eligible</v>
      </c>
    </row>
    <row r="235" spans="1:12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t="str">
        <f t="shared" si="3"/>
        <v>Not Eligible</v>
      </c>
    </row>
    <row r="236" spans="1:12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t="str">
        <f t="shared" si="3"/>
        <v>Not Eligible</v>
      </c>
    </row>
    <row r="237" spans="1:12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t="str">
        <f t="shared" si="3"/>
        <v>Not Eligible</v>
      </c>
    </row>
    <row r="238" spans="1:12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t="str">
        <f t="shared" si="3"/>
        <v>Not Eligible</v>
      </c>
    </row>
    <row r="239" spans="1:12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t="str">
        <f t="shared" si="3"/>
        <v>Not Eligible</v>
      </c>
    </row>
    <row r="240" spans="1:12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t="str">
        <f t="shared" si="3"/>
        <v>Not Eligible</v>
      </c>
    </row>
    <row r="241" spans="1:12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t="str">
        <f t="shared" si="3"/>
        <v>Not Eligible</v>
      </c>
    </row>
    <row r="242" spans="1:12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t="str">
        <f t="shared" si="3"/>
        <v>Not Eligible</v>
      </c>
    </row>
    <row r="243" spans="1:12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t="str">
        <f t="shared" si="3"/>
        <v>Not Eligible</v>
      </c>
    </row>
    <row r="244" spans="1:12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t="str">
        <f t="shared" si="3"/>
        <v>Not Eligible</v>
      </c>
    </row>
    <row r="245" spans="1:12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t="str">
        <f t="shared" si="3"/>
        <v>Eligible</v>
      </c>
    </row>
    <row r="246" spans="1:12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t="str">
        <f t="shared" si="3"/>
        <v>Not Eligible</v>
      </c>
    </row>
    <row r="247" spans="1:12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t="str">
        <f t="shared" si="3"/>
        <v>Not Eligible</v>
      </c>
    </row>
    <row r="248" spans="1:12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t="str">
        <f t="shared" si="3"/>
        <v>Not Eligible</v>
      </c>
    </row>
    <row r="249" spans="1:12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t="str">
        <f t="shared" si="3"/>
        <v>Not Eligible</v>
      </c>
    </row>
    <row r="250" spans="1:12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t="str">
        <f t="shared" si="3"/>
        <v>Not Eligible</v>
      </c>
    </row>
    <row r="251" spans="1:12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t="str">
        <f t="shared" si="3"/>
        <v>Eligible</v>
      </c>
    </row>
    <row r="252" spans="1:12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t="str">
        <f t="shared" si="3"/>
        <v>Not Eligible</v>
      </c>
    </row>
    <row r="253" spans="1:12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t="str">
        <f t="shared" si="3"/>
        <v>Not Eligible</v>
      </c>
    </row>
    <row r="254" spans="1:12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t="str">
        <f t="shared" si="3"/>
        <v>Not Eligible</v>
      </c>
    </row>
    <row r="255" spans="1:12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t="str">
        <f t="shared" si="3"/>
        <v>Not Eligible</v>
      </c>
    </row>
    <row r="256" spans="1:12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t="str">
        <f t="shared" si="3"/>
        <v>Not Eligible</v>
      </c>
    </row>
    <row r="257" spans="1:12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t="str">
        <f t="shared" si="3"/>
        <v>Not Eligible</v>
      </c>
    </row>
    <row r="258" spans="1:12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t="str">
        <f t="shared" si="3"/>
        <v>Not Eligible</v>
      </c>
    </row>
    <row r="259" spans="1:12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t="str">
        <f t="shared" ref="L259:L322" si="4">IF(AND(D258="electronics", H258&gt;=10), "Eligible", "Not Eligible")</f>
        <v>Eligible</v>
      </c>
    </row>
    <row r="260" spans="1:12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t="str">
        <f t="shared" si="4"/>
        <v>Not Eligible</v>
      </c>
    </row>
    <row r="261" spans="1:12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t="str">
        <f t="shared" si="4"/>
        <v>Eligible</v>
      </c>
    </row>
    <row r="262" spans="1:12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t="str">
        <f t="shared" si="4"/>
        <v>Eligible</v>
      </c>
    </row>
    <row r="263" spans="1:12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t="str">
        <f t="shared" si="4"/>
        <v>Not Eligible</v>
      </c>
    </row>
    <row r="264" spans="1:12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t="str">
        <f t="shared" si="4"/>
        <v>Not Eligible</v>
      </c>
    </row>
    <row r="265" spans="1:12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t="str">
        <f t="shared" si="4"/>
        <v>Not Eligible</v>
      </c>
    </row>
    <row r="266" spans="1:12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t="str">
        <f t="shared" si="4"/>
        <v>Not Eligible</v>
      </c>
    </row>
    <row r="267" spans="1:12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t="str">
        <f t="shared" si="4"/>
        <v>Not Eligible</v>
      </c>
    </row>
    <row r="268" spans="1:12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t="str">
        <f t="shared" si="4"/>
        <v>Not Eligible</v>
      </c>
    </row>
    <row r="269" spans="1:12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t="str">
        <f t="shared" si="4"/>
        <v>Not Eligible</v>
      </c>
    </row>
    <row r="270" spans="1:12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t="str">
        <f t="shared" si="4"/>
        <v>Eligible</v>
      </c>
    </row>
    <row r="271" spans="1:12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t="str">
        <f t="shared" si="4"/>
        <v>Not Eligible</v>
      </c>
    </row>
    <row r="272" spans="1:12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t="str">
        <f t="shared" si="4"/>
        <v>Not Eligible</v>
      </c>
    </row>
    <row r="273" spans="1:12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t="str">
        <f t="shared" si="4"/>
        <v>Eligible</v>
      </c>
    </row>
    <row r="274" spans="1:12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t="str">
        <f t="shared" si="4"/>
        <v>Not Eligible</v>
      </c>
    </row>
    <row r="275" spans="1:12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t="str">
        <f t="shared" si="4"/>
        <v>Eligible</v>
      </c>
    </row>
    <row r="276" spans="1:12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t="str">
        <f t="shared" si="4"/>
        <v>Eligible</v>
      </c>
    </row>
    <row r="277" spans="1:12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t="str">
        <f t="shared" si="4"/>
        <v>Not Eligible</v>
      </c>
    </row>
    <row r="278" spans="1:12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t="str">
        <f t="shared" si="4"/>
        <v>Not Eligible</v>
      </c>
    </row>
    <row r="279" spans="1:12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t="str">
        <f t="shared" si="4"/>
        <v>Not Eligible</v>
      </c>
    </row>
    <row r="280" spans="1:12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t="str">
        <f t="shared" si="4"/>
        <v>Not Eligible</v>
      </c>
    </row>
    <row r="281" spans="1:12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t="str">
        <f t="shared" si="4"/>
        <v>Not Eligible</v>
      </c>
    </row>
    <row r="282" spans="1:12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t="str">
        <f t="shared" si="4"/>
        <v>Not Eligible</v>
      </c>
    </row>
    <row r="283" spans="1:12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t="str">
        <f t="shared" si="4"/>
        <v>Not Eligible</v>
      </c>
    </row>
    <row r="284" spans="1:12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t="str">
        <f t="shared" si="4"/>
        <v>Not Eligible</v>
      </c>
    </row>
    <row r="285" spans="1:12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t="str">
        <f t="shared" si="4"/>
        <v>Not Eligible</v>
      </c>
    </row>
    <row r="286" spans="1:12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t="str">
        <f t="shared" si="4"/>
        <v>Not Eligible</v>
      </c>
    </row>
    <row r="287" spans="1:12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t="str">
        <f t="shared" si="4"/>
        <v>Not Eligible</v>
      </c>
    </row>
    <row r="288" spans="1:12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t="str">
        <f t="shared" si="4"/>
        <v>Not Eligible</v>
      </c>
    </row>
    <row r="289" spans="1:12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t="str">
        <f t="shared" si="4"/>
        <v>Not Eligible</v>
      </c>
    </row>
    <row r="290" spans="1:12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t="str">
        <f t="shared" si="4"/>
        <v>Eligible</v>
      </c>
    </row>
    <row r="291" spans="1:12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t="str">
        <f t="shared" si="4"/>
        <v>Not Eligible</v>
      </c>
    </row>
    <row r="292" spans="1:12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t="str">
        <f t="shared" si="4"/>
        <v>Eligible</v>
      </c>
    </row>
    <row r="293" spans="1:12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t="str">
        <f t="shared" si="4"/>
        <v>Not Eligible</v>
      </c>
    </row>
    <row r="294" spans="1:12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t="str">
        <f t="shared" si="4"/>
        <v>Not Eligible</v>
      </c>
    </row>
    <row r="295" spans="1:12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t="str">
        <f t="shared" si="4"/>
        <v>Not Eligible</v>
      </c>
    </row>
    <row r="296" spans="1:12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t="str">
        <f t="shared" si="4"/>
        <v>Not Eligible</v>
      </c>
    </row>
    <row r="297" spans="1:12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t="str">
        <f t="shared" si="4"/>
        <v>Not Eligible</v>
      </c>
    </row>
    <row r="298" spans="1:12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t="str">
        <f t="shared" si="4"/>
        <v>Not Eligible</v>
      </c>
    </row>
    <row r="299" spans="1:12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t="str">
        <f t="shared" si="4"/>
        <v>Eligible</v>
      </c>
    </row>
    <row r="300" spans="1:12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t="str">
        <f t="shared" si="4"/>
        <v>Not Eligible</v>
      </c>
    </row>
    <row r="301" spans="1:12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t="str">
        <f t="shared" si="4"/>
        <v>Not Eligible</v>
      </c>
    </row>
    <row r="302" spans="1:12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t="str">
        <f t="shared" si="4"/>
        <v>Not Eligible</v>
      </c>
    </row>
    <row r="303" spans="1:12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t="str">
        <f t="shared" si="4"/>
        <v>Not Eligible</v>
      </c>
    </row>
    <row r="304" spans="1:12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t="str">
        <f t="shared" si="4"/>
        <v>Eligible</v>
      </c>
    </row>
    <row r="305" spans="1:12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t="str">
        <f t="shared" si="4"/>
        <v>Not Eligible</v>
      </c>
    </row>
    <row r="306" spans="1:12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t="str">
        <f t="shared" si="4"/>
        <v>Not Eligible</v>
      </c>
    </row>
    <row r="307" spans="1:12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t="str">
        <f t="shared" si="4"/>
        <v>Eligible</v>
      </c>
    </row>
    <row r="308" spans="1:12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t="str">
        <f t="shared" si="4"/>
        <v>Not Eligible</v>
      </c>
    </row>
    <row r="309" spans="1:12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t="str">
        <f t="shared" si="4"/>
        <v>Eligible</v>
      </c>
    </row>
    <row r="310" spans="1:12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t="str">
        <f t="shared" si="4"/>
        <v>Not Eligible</v>
      </c>
    </row>
    <row r="311" spans="1:12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t="str">
        <f t="shared" si="4"/>
        <v>Not Eligible</v>
      </c>
    </row>
    <row r="312" spans="1:12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t="str">
        <f t="shared" si="4"/>
        <v>Not Eligible</v>
      </c>
    </row>
    <row r="313" spans="1:12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t="str">
        <f t="shared" si="4"/>
        <v>Not Eligible</v>
      </c>
    </row>
    <row r="314" spans="1:12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t="str">
        <f t="shared" si="4"/>
        <v>Not Eligible</v>
      </c>
    </row>
    <row r="315" spans="1:12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t="str">
        <f t="shared" si="4"/>
        <v>Not Eligible</v>
      </c>
    </row>
    <row r="316" spans="1:12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t="str">
        <f t="shared" si="4"/>
        <v>Not Eligible</v>
      </c>
    </row>
    <row r="317" spans="1:12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t="str">
        <f t="shared" si="4"/>
        <v>Not Eligible</v>
      </c>
    </row>
    <row r="318" spans="1:12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t="str">
        <f t="shared" si="4"/>
        <v>Not Eligible</v>
      </c>
    </row>
    <row r="319" spans="1:12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t="str">
        <f t="shared" si="4"/>
        <v>Not Eligible</v>
      </c>
    </row>
    <row r="320" spans="1:12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t="str">
        <f t="shared" si="4"/>
        <v>Not Eligible</v>
      </c>
    </row>
    <row r="321" spans="1:12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t="str">
        <f t="shared" si="4"/>
        <v>Not Eligible</v>
      </c>
    </row>
    <row r="322" spans="1:12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t="str">
        <f t="shared" si="4"/>
        <v>Not Eligible</v>
      </c>
    </row>
    <row r="323" spans="1:12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t="str">
        <f t="shared" ref="L323:L386" si="5">IF(AND(D322="electronics", H322&gt;=10), "Eligible", "Not Eligible")</f>
        <v>Not Eligible</v>
      </c>
    </row>
    <row r="324" spans="1:12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t="str">
        <f t="shared" si="5"/>
        <v>Not Eligible</v>
      </c>
    </row>
    <row r="325" spans="1:12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t="str">
        <f t="shared" si="5"/>
        <v>Eligible</v>
      </c>
    </row>
    <row r="326" spans="1:12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t="str">
        <f t="shared" si="5"/>
        <v>Not Eligible</v>
      </c>
    </row>
    <row r="327" spans="1:12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t="str">
        <f t="shared" si="5"/>
        <v>Eligible</v>
      </c>
    </row>
    <row r="328" spans="1:12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t="str">
        <f t="shared" si="5"/>
        <v>Not Eligible</v>
      </c>
    </row>
    <row r="329" spans="1:12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t="str">
        <f t="shared" si="5"/>
        <v>Not Eligible</v>
      </c>
    </row>
    <row r="330" spans="1:12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t="str">
        <f t="shared" si="5"/>
        <v>Not Eligible</v>
      </c>
    </row>
    <row r="331" spans="1:12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t="str">
        <f t="shared" si="5"/>
        <v>Not Eligible</v>
      </c>
    </row>
    <row r="332" spans="1:12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t="str">
        <f t="shared" si="5"/>
        <v>Not Eligible</v>
      </c>
    </row>
    <row r="333" spans="1:12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t="str">
        <f t="shared" si="5"/>
        <v>Not Eligible</v>
      </c>
    </row>
    <row r="334" spans="1:12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t="str">
        <f t="shared" si="5"/>
        <v>Not Eligible</v>
      </c>
    </row>
    <row r="335" spans="1:12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t="str">
        <f t="shared" si="5"/>
        <v>Not Eligible</v>
      </c>
    </row>
    <row r="336" spans="1:12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t="str">
        <f t="shared" si="5"/>
        <v>Not Eligible</v>
      </c>
    </row>
    <row r="337" spans="1:12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t="str">
        <f t="shared" si="5"/>
        <v>Not Eligible</v>
      </c>
    </row>
    <row r="338" spans="1:12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t="str">
        <f t="shared" si="5"/>
        <v>Not Eligible</v>
      </c>
    </row>
    <row r="339" spans="1:12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t="str">
        <f t="shared" si="5"/>
        <v>Not Eligible</v>
      </c>
    </row>
    <row r="340" spans="1:12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t="str">
        <f t="shared" si="5"/>
        <v>Not Eligible</v>
      </c>
    </row>
    <row r="341" spans="1:12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t="str">
        <f t="shared" si="5"/>
        <v>Not Eligible</v>
      </c>
    </row>
    <row r="342" spans="1:12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t="str">
        <f t="shared" si="5"/>
        <v>Not Eligible</v>
      </c>
    </row>
    <row r="343" spans="1:12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t="str">
        <f t="shared" si="5"/>
        <v>Not Eligible</v>
      </c>
    </row>
    <row r="344" spans="1:12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t="str">
        <f t="shared" si="5"/>
        <v>Eligible</v>
      </c>
    </row>
    <row r="345" spans="1:12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t="str">
        <f t="shared" si="5"/>
        <v>Eligible</v>
      </c>
    </row>
    <row r="346" spans="1:12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t="str">
        <f t="shared" si="5"/>
        <v>Not Eligible</v>
      </c>
    </row>
    <row r="347" spans="1:12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t="str">
        <f t="shared" si="5"/>
        <v>Eligible</v>
      </c>
    </row>
    <row r="348" spans="1:12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t="str">
        <f t="shared" si="5"/>
        <v>Not Eligible</v>
      </c>
    </row>
    <row r="349" spans="1:12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t="str">
        <f t="shared" si="5"/>
        <v>Eligible</v>
      </c>
    </row>
    <row r="350" spans="1:12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t="str">
        <f t="shared" si="5"/>
        <v>Not Eligible</v>
      </c>
    </row>
    <row r="351" spans="1:12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t="str">
        <f t="shared" si="5"/>
        <v>Not Eligible</v>
      </c>
    </row>
    <row r="352" spans="1:12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t="str">
        <f t="shared" si="5"/>
        <v>Not Eligible</v>
      </c>
    </row>
    <row r="353" spans="1:12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t="str">
        <f t="shared" si="5"/>
        <v>Not Eligible</v>
      </c>
    </row>
    <row r="354" spans="1:12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t="str">
        <f t="shared" si="5"/>
        <v>Not Eligible</v>
      </c>
    </row>
    <row r="355" spans="1:12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t="str">
        <f t="shared" si="5"/>
        <v>Not Eligible</v>
      </c>
    </row>
    <row r="356" spans="1:12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t="str">
        <f t="shared" si="5"/>
        <v>Eligible</v>
      </c>
    </row>
    <row r="357" spans="1:12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t="str">
        <f t="shared" si="5"/>
        <v>Not Eligible</v>
      </c>
    </row>
    <row r="358" spans="1:12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t="str">
        <f t="shared" si="5"/>
        <v>Eligible</v>
      </c>
    </row>
    <row r="359" spans="1:12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t="str">
        <f t="shared" si="5"/>
        <v>Not Eligible</v>
      </c>
    </row>
    <row r="360" spans="1:12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t="str">
        <f t="shared" si="5"/>
        <v>Not Eligible</v>
      </c>
    </row>
    <row r="361" spans="1:12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t="str">
        <f t="shared" si="5"/>
        <v>Not Eligible</v>
      </c>
    </row>
    <row r="362" spans="1:12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t="str">
        <f t="shared" si="5"/>
        <v>Not Eligible</v>
      </c>
    </row>
    <row r="363" spans="1:12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t="str">
        <f t="shared" si="5"/>
        <v>Not Eligible</v>
      </c>
    </row>
    <row r="364" spans="1:12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t="str">
        <f t="shared" si="5"/>
        <v>Not Eligible</v>
      </c>
    </row>
    <row r="365" spans="1:12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t="str">
        <f t="shared" si="5"/>
        <v>Not Eligible</v>
      </c>
    </row>
    <row r="366" spans="1:12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t="str">
        <f t="shared" si="5"/>
        <v>Not Eligible</v>
      </c>
    </row>
    <row r="367" spans="1:12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t="str">
        <f t="shared" si="5"/>
        <v>Not Eligible</v>
      </c>
    </row>
    <row r="368" spans="1:12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t="str">
        <f t="shared" si="5"/>
        <v>Eligible</v>
      </c>
    </row>
    <row r="369" spans="1:12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t="str">
        <f t="shared" si="5"/>
        <v>Not Eligible</v>
      </c>
    </row>
    <row r="370" spans="1:12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t="str">
        <f t="shared" si="5"/>
        <v>Not Eligible</v>
      </c>
    </row>
    <row r="371" spans="1:12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t="str">
        <f t="shared" si="5"/>
        <v>Not Eligible</v>
      </c>
    </row>
    <row r="372" spans="1:12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t="str">
        <f t="shared" si="5"/>
        <v>Not Eligible</v>
      </c>
    </row>
    <row r="373" spans="1:12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t="str">
        <f t="shared" si="5"/>
        <v>Not Eligible</v>
      </c>
    </row>
    <row r="374" spans="1:12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t="str">
        <f t="shared" si="5"/>
        <v>Eligible</v>
      </c>
    </row>
    <row r="375" spans="1:12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t="str">
        <f t="shared" si="5"/>
        <v>Eligible</v>
      </c>
    </row>
    <row r="376" spans="1:12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t="str">
        <f t="shared" si="5"/>
        <v>Not Eligible</v>
      </c>
    </row>
    <row r="377" spans="1:12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t="str">
        <f t="shared" si="5"/>
        <v>Not Eligible</v>
      </c>
    </row>
    <row r="378" spans="1:12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t="str">
        <f t="shared" si="5"/>
        <v>Not Eligible</v>
      </c>
    </row>
    <row r="379" spans="1:12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t="str">
        <f t="shared" si="5"/>
        <v>Not Eligible</v>
      </c>
    </row>
    <row r="380" spans="1:12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t="str">
        <f t="shared" si="5"/>
        <v>Eligible</v>
      </c>
    </row>
    <row r="381" spans="1:12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t="str">
        <f t="shared" si="5"/>
        <v>Not Eligible</v>
      </c>
    </row>
    <row r="382" spans="1:12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t="str">
        <f t="shared" si="5"/>
        <v>Not Eligible</v>
      </c>
    </row>
    <row r="383" spans="1:12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t="str">
        <f t="shared" si="5"/>
        <v>Not Eligible</v>
      </c>
    </row>
    <row r="384" spans="1:12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t="str">
        <f t="shared" si="5"/>
        <v>Not Eligible</v>
      </c>
    </row>
    <row r="385" spans="1:12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t="str">
        <f t="shared" si="5"/>
        <v>Not Eligible</v>
      </c>
    </row>
    <row r="386" spans="1:12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t="str">
        <f t="shared" si="5"/>
        <v>Not Eligible</v>
      </c>
    </row>
    <row r="387" spans="1:12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t="str">
        <f t="shared" ref="L387:L401" si="6">IF(AND(D386="electronics", H386&gt;=10), "Eligible", "Not Eligible")</f>
        <v>Eligible</v>
      </c>
    </row>
    <row r="388" spans="1:12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t="str">
        <f t="shared" si="6"/>
        <v>Not Eligible</v>
      </c>
    </row>
    <row r="389" spans="1:12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t="str">
        <f t="shared" si="6"/>
        <v>Not Eligible</v>
      </c>
    </row>
    <row r="390" spans="1:12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t="str">
        <f t="shared" si="6"/>
        <v>Not Eligible</v>
      </c>
    </row>
    <row r="391" spans="1:12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t="str">
        <f t="shared" si="6"/>
        <v>Not Eligible</v>
      </c>
    </row>
    <row r="392" spans="1:12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t="str">
        <f t="shared" si="6"/>
        <v>Not Eligible</v>
      </c>
    </row>
    <row r="393" spans="1:12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t="str">
        <f t="shared" si="6"/>
        <v>Not Eligible</v>
      </c>
    </row>
    <row r="394" spans="1:12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t="str">
        <f t="shared" si="6"/>
        <v>Not Eligible</v>
      </c>
    </row>
    <row r="395" spans="1:12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t="str">
        <f t="shared" si="6"/>
        <v>Eligible</v>
      </c>
    </row>
    <row r="396" spans="1:12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t="str">
        <f t="shared" si="6"/>
        <v>Not Eligible</v>
      </c>
    </row>
    <row r="397" spans="1:12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t="str">
        <f t="shared" si="6"/>
        <v>Not Eligible</v>
      </c>
    </row>
    <row r="398" spans="1:12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t="str">
        <f t="shared" si="6"/>
        <v>Not Eligible</v>
      </c>
    </row>
    <row r="399" spans="1:12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t="str">
        <f t="shared" si="6"/>
        <v>Not Eligible</v>
      </c>
    </row>
    <row r="400" spans="1:12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t="str">
        <f t="shared" si="6"/>
        <v>Not Eligible</v>
      </c>
    </row>
    <row r="401" spans="1:12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t="str">
        <f t="shared" si="6"/>
        <v>Not 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632E-5A8F-4C8D-8B06-111C1F89C087}">
  <dimension ref="A1:U401"/>
  <sheetViews>
    <sheetView workbookViewId="0">
      <selection activeCell="O393" sqref="O393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4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69</v>
      </c>
    </row>
    <row r="2" spans="1:2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t="str">
        <f>IF(OR(C1="mumbai", F1&gt;=15), "Priority", "Nomal")</f>
        <v>Priority</v>
      </c>
      <c r="T2" s="1"/>
      <c r="U2" s="1"/>
    </row>
    <row r="3" spans="1:2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t="str">
        <f t="shared" ref="L3:L66" si="0">IF(OR(C2="mumbai", F2&gt;=15), "Priority", "Nomal")</f>
        <v>Nomal</v>
      </c>
      <c r="T3" s="1"/>
      <c r="U3" s="1"/>
    </row>
    <row r="4" spans="1:2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t="str">
        <f t="shared" si="0"/>
        <v>Nomal</v>
      </c>
      <c r="T4" s="1"/>
      <c r="U4" s="1"/>
    </row>
    <row r="5" spans="1:2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t="str">
        <f t="shared" si="0"/>
        <v>Priority</v>
      </c>
      <c r="T5" s="1"/>
      <c r="U5" s="1"/>
    </row>
    <row r="6" spans="1:2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t="str">
        <f t="shared" si="0"/>
        <v>Priority</v>
      </c>
      <c r="T6" s="1"/>
      <c r="U6" s="1"/>
    </row>
    <row r="7" spans="1:2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t="str">
        <f t="shared" si="0"/>
        <v>Priority</v>
      </c>
      <c r="T7" s="1"/>
      <c r="U7" s="1"/>
    </row>
    <row r="8" spans="1:2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t="str">
        <f t="shared" si="0"/>
        <v>Nomal</v>
      </c>
      <c r="T8" s="1"/>
      <c r="U8" s="1"/>
    </row>
    <row r="9" spans="1:2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t="str">
        <f t="shared" si="0"/>
        <v>Priority</v>
      </c>
      <c r="T9" s="1"/>
      <c r="U9" s="1"/>
    </row>
    <row r="10" spans="1:21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t="str">
        <f t="shared" si="0"/>
        <v>Nomal</v>
      </c>
      <c r="T10" s="1"/>
      <c r="U10" s="1"/>
    </row>
    <row r="11" spans="1:2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t="str">
        <f t="shared" si="0"/>
        <v>Nomal</v>
      </c>
      <c r="T11" s="1"/>
      <c r="U11" s="1"/>
    </row>
    <row r="12" spans="1:2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t="str">
        <f t="shared" si="0"/>
        <v>Nomal</v>
      </c>
      <c r="T12" s="1"/>
      <c r="U12" s="1"/>
    </row>
    <row r="13" spans="1:21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t="str">
        <f t="shared" si="0"/>
        <v>Nomal</v>
      </c>
      <c r="T13" s="1"/>
      <c r="U13" s="1"/>
    </row>
    <row r="14" spans="1:2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t="str">
        <f t="shared" si="0"/>
        <v>Priority</v>
      </c>
      <c r="T14" s="1"/>
      <c r="U14" s="1"/>
    </row>
    <row r="15" spans="1:21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t="str">
        <f t="shared" si="0"/>
        <v>Priority</v>
      </c>
      <c r="T15" s="1"/>
      <c r="U15" s="1"/>
    </row>
    <row r="16" spans="1:2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t="str">
        <f t="shared" si="0"/>
        <v>Priority</v>
      </c>
      <c r="T16" s="1"/>
      <c r="U16" s="1"/>
    </row>
    <row r="17" spans="1:2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t="str">
        <f t="shared" si="0"/>
        <v>Nomal</v>
      </c>
      <c r="T17" s="1"/>
      <c r="U17" s="1"/>
    </row>
    <row r="18" spans="1:2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t="str">
        <f t="shared" si="0"/>
        <v>Priority</v>
      </c>
      <c r="T18" s="1"/>
      <c r="U18" s="1"/>
    </row>
    <row r="19" spans="1:2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t="str">
        <f t="shared" si="0"/>
        <v>Priority</v>
      </c>
      <c r="T19" s="1"/>
      <c r="U19" s="1"/>
    </row>
    <row r="20" spans="1:2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t="str">
        <f t="shared" si="0"/>
        <v>Priority</v>
      </c>
      <c r="T20" s="1"/>
      <c r="U20" s="1"/>
    </row>
    <row r="21" spans="1:2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t="str">
        <f t="shared" si="0"/>
        <v>Priority</v>
      </c>
      <c r="T21" s="1"/>
      <c r="U21" s="1"/>
    </row>
    <row r="22" spans="1:2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t="str">
        <f t="shared" si="0"/>
        <v>Nomal</v>
      </c>
      <c r="T22" s="1"/>
      <c r="U22" s="1"/>
    </row>
    <row r="23" spans="1:2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t="str">
        <f t="shared" si="0"/>
        <v>Nomal</v>
      </c>
      <c r="T23" s="1"/>
      <c r="U23" s="1"/>
    </row>
    <row r="24" spans="1:2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t="str">
        <f t="shared" si="0"/>
        <v>Priority</v>
      </c>
      <c r="T24" s="1"/>
      <c r="U24" s="1"/>
    </row>
    <row r="25" spans="1:2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t="str">
        <f t="shared" si="0"/>
        <v>Priority</v>
      </c>
      <c r="T25" s="1"/>
      <c r="U25" s="1"/>
    </row>
    <row r="26" spans="1:2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t="str">
        <f t="shared" si="0"/>
        <v>Priority</v>
      </c>
      <c r="T26" s="1"/>
      <c r="U26" s="1"/>
    </row>
    <row r="27" spans="1:2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t="str">
        <f t="shared" si="0"/>
        <v>Priority</v>
      </c>
      <c r="T27" s="1"/>
      <c r="U27" s="1"/>
    </row>
    <row r="28" spans="1:2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t="str">
        <f t="shared" si="0"/>
        <v>Priority</v>
      </c>
      <c r="T28" s="1"/>
      <c r="U28" s="1"/>
    </row>
    <row r="29" spans="1:2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t="str">
        <f t="shared" si="0"/>
        <v>Nomal</v>
      </c>
      <c r="T29" s="1"/>
      <c r="U29" s="1"/>
    </row>
    <row r="30" spans="1:2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t="str">
        <f t="shared" si="0"/>
        <v>Nomal</v>
      </c>
      <c r="T30" s="1"/>
      <c r="U30" s="1"/>
    </row>
    <row r="31" spans="1:2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t="str">
        <f t="shared" si="0"/>
        <v>Priority</v>
      </c>
      <c r="T31" s="1"/>
      <c r="U31" s="1"/>
    </row>
    <row r="32" spans="1:2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t="str">
        <f t="shared" si="0"/>
        <v>Nomal</v>
      </c>
      <c r="T32" s="1"/>
      <c r="U32" s="1"/>
    </row>
    <row r="33" spans="1:2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t="str">
        <f t="shared" si="0"/>
        <v>Nomal</v>
      </c>
      <c r="T33" s="1"/>
      <c r="U33" s="1"/>
    </row>
    <row r="34" spans="1:2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t="str">
        <f t="shared" si="0"/>
        <v>Priority</v>
      </c>
      <c r="T34" s="1"/>
      <c r="U34" s="1"/>
    </row>
    <row r="35" spans="1:2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t="str">
        <f t="shared" si="0"/>
        <v>Nomal</v>
      </c>
      <c r="T35" s="1"/>
      <c r="U35" s="1"/>
    </row>
    <row r="36" spans="1:2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t="str">
        <f t="shared" si="0"/>
        <v>Priority</v>
      </c>
      <c r="T36" s="1"/>
      <c r="U36" s="1"/>
    </row>
    <row r="37" spans="1:2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t="str">
        <f t="shared" si="0"/>
        <v>Nomal</v>
      </c>
      <c r="T37" s="1"/>
      <c r="U37" s="1"/>
    </row>
    <row r="38" spans="1:2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t="str">
        <f t="shared" si="0"/>
        <v>Priority</v>
      </c>
      <c r="T38" s="1"/>
      <c r="U38" s="1"/>
    </row>
    <row r="39" spans="1:2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t="str">
        <f t="shared" si="0"/>
        <v>Nomal</v>
      </c>
      <c r="T39" s="1"/>
      <c r="U39" s="1"/>
    </row>
    <row r="40" spans="1:2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t="str">
        <f t="shared" si="0"/>
        <v>Priority</v>
      </c>
      <c r="T40" s="1"/>
      <c r="U40" s="1"/>
    </row>
    <row r="41" spans="1:2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t="str">
        <f t="shared" si="0"/>
        <v>Priority</v>
      </c>
      <c r="T41" s="1"/>
      <c r="U41" s="1"/>
    </row>
    <row r="42" spans="1:2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t="str">
        <f t="shared" si="0"/>
        <v>Priority</v>
      </c>
      <c r="T42" s="1"/>
      <c r="U42" s="1"/>
    </row>
    <row r="43" spans="1:2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t="str">
        <f t="shared" si="0"/>
        <v>Priority</v>
      </c>
      <c r="T43" s="1"/>
      <c r="U43" s="1"/>
    </row>
    <row r="44" spans="1:2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t="str">
        <f t="shared" si="0"/>
        <v>Priority</v>
      </c>
      <c r="T44" s="1"/>
      <c r="U44" s="1"/>
    </row>
    <row r="45" spans="1:2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t="str">
        <f t="shared" si="0"/>
        <v>Priority</v>
      </c>
      <c r="T45" s="1"/>
      <c r="U45" s="1"/>
    </row>
    <row r="46" spans="1:2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t="str">
        <f t="shared" si="0"/>
        <v>Priority</v>
      </c>
      <c r="T46" s="1"/>
      <c r="U46" s="1"/>
    </row>
    <row r="47" spans="1:2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t="str">
        <f t="shared" si="0"/>
        <v>Priority</v>
      </c>
      <c r="T47" s="1"/>
      <c r="U47" s="1"/>
    </row>
    <row r="48" spans="1:2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t="str">
        <f t="shared" si="0"/>
        <v>Priority</v>
      </c>
      <c r="T48" s="1"/>
      <c r="U48" s="1"/>
    </row>
    <row r="49" spans="1:2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t="str">
        <f t="shared" si="0"/>
        <v>Priority</v>
      </c>
      <c r="T49" s="1"/>
      <c r="U49" s="1"/>
    </row>
    <row r="50" spans="1:2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t="str">
        <f t="shared" si="0"/>
        <v>Nomal</v>
      </c>
      <c r="T50" s="1"/>
      <c r="U50" s="1"/>
    </row>
    <row r="51" spans="1:2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t="str">
        <f t="shared" si="0"/>
        <v>Nomal</v>
      </c>
      <c r="T51" s="1"/>
      <c r="U51" s="1"/>
    </row>
    <row r="52" spans="1:2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t="str">
        <f t="shared" si="0"/>
        <v>Nomal</v>
      </c>
      <c r="T52" s="1"/>
      <c r="U52" s="1"/>
    </row>
    <row r="53" spans="1:2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t="str">
        <f t="shared" si="0"/>
        <v>Nomal</v>
      </c>
      <c r="T53" s="1"/>
      <c r="U53" s="1"/>
    </row>
    <row r="54" spans="1:2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t="str">
        <f t="shared" si="0"/>
        <v>Priority</v>
      </c>
      <c r="T54" s="1"/>
      <c r="U54" s="1"/>
    </row>
    <row r="55" spans="1:2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t="str">
        <f t="shared" si="0"/>
        <v>Nomal</v>
      </c>
      <c r="T55" s="1"/>
      <c r="U55" s="1"/>
    </row>
    <row r="56" spans="1:2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t="str">
        <f t="shared" si="0"/>
        <v>Nomal</v>
      </c>
      <c r="T56" s="1"/>
      <c r="U56" s="1"/>
    </row>
    <row r="57" spans="1:2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t="str">
        <f t="shared" si="0"/>
        <v>Priority</v>
      </c>
      <c r="T57" s="1"/>
      <c r="U57" s="1"/>
    </row>
    <row r="58" spans="1:2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t="str">
        <f t="shared" si="0"/>
        <v>Nomal</v>
      </c>
      <c r="T58" s="1"/>
      <c r="U58" s="1"/>
    </row>
    <row r="59" spans="1:2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t="str">
        <f t="shared" si="0"/>
        <v>Nomal</v>
      </c>
      <c r="T59" s="1"/>
      <c r="U59" s="1"/>
    </row>
    <row r="60" spans="1:2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t="str">
        <f t="shared" si="0"/>
        <v>Priority</v>
      </c>
      <c r="T60" s="1"/>
      <c r="U60" s="1"/>
    </row>
    <row r="61" spans="1:2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t="str">
        <f t="shared" si="0"/>
        <v>Priority</v>
      </c>
      <c r="T61" s="1"/>
      <c r="U61" s="1"/>
    </row>
    <row r="62" spans="1:2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t="str">
        <f t="shared" si="0"/>
        <v>Nomal</v>
      </c>
      <c r="T62" s="1"/>
      <c r="U62" s="1"/>
    </row>
    <row r="63" spans="1:2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t="str">
        <f t="shared" si="0"/>
        <v>Priority</v>
      </c>
      <c r="T63" s="1"/>
      <c r="U63" s="1"/>
    </row>
    <row r="64" spans="1:2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t="str">
        <f t="shared" si="0"/>
        <v>Nomal</v>
      </c>
      <c r="T64" s="1"/>
      <c r="U64" s="1"/>
    </row>
    <row r="65" spans="1:2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t="str">
        <f t="shared" si="0"/>
        <v>Nomal</v>
      </c>
      <c r="T65" s="1"/>
      <c r="U65" s="1"/>
    </row>
    <row r="66" spans="1:2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t="str">
        <f t="shared" si="0"/>
        <v>Priority</v>
      </c>
      <c r="T66" s="1"/>
      <c r="U66" s="1"/>
    </row>
    <row r="67" spans="1:2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t="str">
        <f t="shared" ref="L67:L130" si="1">IF(OR(C66="mumbai", F66&gt;=15), "Priority", "Nomal")</f>
        <v>Nomal</v>
      </c>
      <c r="T67" s="1"/>
      <c r="U67" s="1"/>
    </row>
    <row r="68" spans="1:2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t="str">
        <f t="shared" si="1"/>
        <v>Priority</v>
      </c>
      <c r="T68" s="1"/>
      <c r="U68" s="1"/>
    </row>
    <row r="69" spans="1:2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t="str">
        <f t="shared" si="1"/>
        <v>Nomal</v>
      </c>
      <c r="T69" s="1"/>
      <c r="U69" s="1"/>
    </row>
    <row r="70" spans="1:2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t="str">
        <f t="shared" si="1"/>
        <v>Priority</v>
      </c>
      <c r="T70" s="1"/>
      <c r="U70" s="1"/>
    </row>
    <row r="71" spans="1:2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t="str">
        <f t="shared" si="1"/>
        <v>Nomal</v>
      </c>
      <c r="T71" s="1"/>
      <c r="U71" s="1"/>
    </row>
    <row r="72" spans="1:2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t="str">
        <f t="shared" si="1"/>
        <v>Nomal</v>
      </c>
      <c r="T72" s="1"/>
      <c r="U72" s="1"/>
    </row>
    <row r="73" spans="1:2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t="str">
        <f t="shared" si="1"/>
        <v>Priority</v>
      </c>
      <c r="T73" s="1"/>
      <c r="U73" s="1"/>
    </row>
    <row r="74" spans="1:2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t="str">
        <f t="shared" si="1"/>
        <v>Priority</v>
      </c>
      <c r="T74" s="1"/>
      <c r="U74" s="1"/>
    </row>
    <row r="75" spans="1:2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t="str">
        <f t="shared" si="1"/>
        <v>Nomal</v>
      </c>
      <c r="T75" s="1"/>
      <c r="U75" s="1"/>
    </row>
    <row r="76" spans="1:2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t="str">
        <f t="shared" si="1"/>
        <v>Nomal</v>
      </c>
      <c r="T76" s="1"/>
      <c r="U76" s="1"/>
    </row>
    <row r="77" spans="1:2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t="str">
        <f t="shared" si="1"/>
        <v>Nomal</v>
      </c>
      <c r="T77" s="1"/>
      <c r="U77" s="1"/>
    </row>
    <row r="78" spans="1:2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t="str">
        <f t="shared" si="1"/>
        <v>Priority</v>
      </c>
      <c r="T78" s="1"/>
      <c r="U78" s="1"/>
    </row>
    <row r="79" spans="1:2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t="str">
        <f t="shared" si="1"/>
        <v>Nomal</v>
      </c>
      <c r="T79" s="1"/>
      <c r="U79" s="1"/>
    </row>
    <row r="80" spans="1:2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t="str">
        <f t="shared" si="1"/>
        <v>Nomal</v>
      </c>
      <c r="T80" s="1"/>
      <c r="U80" s="1"/>
    </row>
    <row r="81" spans="1:2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t="str">
        <f t="shared" si="1"/>
        <v>Priority</v>
      </c>
      <c r="T81" s="1"/>
      <c r="U81" s="1"/>
    </row>
    <row r="82" spans="1:2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t="str">
        <f t="shared" si="1"/>
        <v>Nomal</v>
      </c>
      <c r="T82" s="1"/>
      <c r="U82" s="1"/>
    </row>
    <row r="83" spans="1:2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t="str">
        <f t="shared" si="1"/>
        <v>Priority</v>
      </c>
      <c r="T83" s="1"/>
      <c r="U83" s="1"/>
    </row>
    <row r="84" spans="1:2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t="str">
        <f t="shared" si="1"/>
        <v>Nomal</v>
      </c>
      <c r="T84" s="1"/>
      <c r="U84" s="1"/>
    </row>
    <row r="85" spans="1:2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t="str">
        <f t="shared" si="1"/>
        <v>Nomal</v>
      </c>
      <c r="T85" s="1"/>
      <c r="U85" s="1"/>
    </row>
    <row r="86" spans="1:2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t="str">
        <f t="shared" si="1"/>
        <v>Nomal</v>
      </c>
      <c r="T86" s="1"/>
      <c r="U86" s="1"/>
    </row>
    <row r="87" spans="1:2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t="str">
        <f t="shared" si="1"/>
        <v>Priority</v>
      </c>
      <c r="T87" s="1"/>
      <c r="U87" s="1"/>
    </row>
    <row r="88" spans="1:2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t="str">
        <f t="shared" si="1"/>
        <v>Priority</v>
      </c>
      <c r="T88" s="1"/>
      <c r="U88" s="1"/>
    </row>
    <row r="89" spans="1:2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t="str">
        <f t="shared" si="1"/>
        <v>Nomal</v>
      </c>
      <c r="T89" s="1"/>
      <c r="U89" s="1"/>
    </row>
    <row r="90" spans="1:2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t="str">
        <f t="shared" si="1"/>
        <v>Priority</v>
      </c>
      <c r="T90" s="1"/>
      <c r="U90" s="1"/>
    </row>
    <row r="91" spans="1:2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t="str">
        <f t="shared" si="1"/>
        <v>Nomal</v>
      </c>
      <c r="T91" s="1"/>
      <c r="U91" s="1"/>
    </row>
    <row r="92" spans="1:2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t="str">
        <f t="shared" si="1"/>
        <v>Priority</v>
      </c>
      <c r="T92" s="1"/>
      <c r="U92" s="1"/>
    </row>
    <row r="93" spans="1:2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t="str">
        <f t="shared" si="1"/>
        <v>Nomal</v>
      </c>
      <c r="T93" s="1"/>
      <c r="U93" s="1"/>
    </row>
    <row r="94" spans="1:2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t="str">
        <f t="shared" si="1"/>
        <v>Nomal</v>
      </c>
      <c r="T94" s="1"/>
      <c r="U94" s="1"/>
    </row>
    <row r="95" spans="1:2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t="str">
        <f t="shared" si="1"/>
        <v>Nomal</v>
      </c>
      <c r="T95" s="1"/>
      <c r="U95" s="1"/>
    </row>
    <row r="96" spans="1:2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t="str">
        <f t="shared" si="1"/>
        <v>Nomal</v>
      </c>
      <c r="T96" s="1"/>
      <c r="U96" s="1"/>
    </row>
    <row r="97" spans="1:2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t="str">
        <f t="shared" si="1"/>
        <v>Priority</v>
      </c>
      <c r="T97" s="1"/>
      <c r="U97" s="1"/>
    </row>
    <row r="98" spans="1:2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t="str">
        <f t="shared" si="1"/>
        <v>Priority</v>
      </c>
      <c r="T98" s="1"/>
      <c r="U98" s="1"/>
    </row>
    <row r="99" spans="1:2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t="str">
        <f t="shared" si="1"/>
        <v>Nomal</v>
      </c>
      <c r="T99" s="1"/>
      <c r="U99" s="1"/>
    </row>
    <row r="100" spans="1:2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t="str">
        <f t="shared" si="1"/>
        <v>Priority</v>
      </c>
      <c r="T100" s="1"/>
      <c r="U100" s="1"/>
    </row>
    <row r="101" spans="1:2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t="str">
        <f t="shared" si="1"/>
        <v>Nomal</v>
      </c>
      <c r="T101" s="1"/>
      <c r="U101" s="1"/>
    </row>
    <row r="102" spans="1:2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t="str">
        <f t="shared" si="1"/>
        <v>Nomal</v>
      </c>
      <c r="T102" s="1"/>
      <c r="U102" s="1"/>
    </row>
    <row r="103" spans="1:2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t="str">
        <f t="shared" si="1"/>
        <v>Nomal</v>
      </c>
      <c r="T103" s="1"/>
      <c r="U103" s="1"/>
    </row>
    <row r="104" spans="1:2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t="str">
        <f t="shared" si="1"/>
        <v>Nomal</v>
      </c>
      <c r="T104" s="1"/>
      <c r="U104" s="1"/>
    </row>
    <row r="105" spans="1:2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t="str">
        <f t="shared" si="1"/>
        <v>Nomal</v>
      </c>
      <c r="T105" s="1"/>
      <c r="U105" s="1"/>
    </row>
    <row r="106" spans="1:2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t="str">
        <f t="shared" si="1"/>
        <v>Nomal</v>
      </c>
      <c r="T106" s="1"/>
      <c r="U106" s="1"/>
    </row>
    <row r="107" spans="1:2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t="str">
        <f t="shared" si="1"/>
        <v>Nomal</v>
      </c>
      <c r="T107" s="1"/>
      <c r="U107" s="1"/>
    </row>
    <row r="108" spans="1:2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t="str">
        <f t="shared" si="1"/>
        <v>Priority</v>
      </c>
      <c r="T108" s="1"/>
      <c r="U108" s="1"/>
    </row>
    <row r="109" spans="1:2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t="str">
        <f t="shared" si="1"/>
        <v>Nomal</v>
      </c>
      <c r="T109" s="1"/>
      <c r="U109" s="1"/>
    </row>
    <row r="110" spans="1:2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t="str">
        <f t="shared" si="1"/>
        <v>Priority</v>
      </c>
      <c r="T110" s="1"/>
      <c r="U110" s="1"/>
    </row>
    <row r="111" spans="1:2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t="str">
        <f t="shared" si="1"/>
        <v>Priority</v>
      </c>
      <c r="T111" s="1"/>
      <c r="U111" s="1"/>
    </row>
    <row r="112" spans="1:2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t="str">
        <f t="shared" si="1"/>
        <v>Priority</v>
      </c>
      <c r="T112" s="1"/>
      <c r="U112" s="1"/>
    </row>
    <row r="113" spans="1:2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t="str">
        <f t="shared" si="1"/>
        <v>Nomal</v>
      </c>
      <c r="T113" s="1"/>
      <c r="U113" s="1"/>
    </row>
    <row r="114" spans="1:2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t="str">
        <f t="shared" si="1"/>
        <v>Nomal</v>
      </c>
      <c r="T114" s="1"/>
      <c r="U114" s="1"/>
    </row>
    <row r="115" spans="1:2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t="str">
        <f t="shared" si="1"/>
        <v>Nomal</v>
      </c>
      <c r="T115" s="1"/>
      <c r="U115" s="1"/>
    </row>
    <row r="116" spans="1:2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t="str">
        <f t="shared" si="1"/>
        <v>Nomal</v>
      </c>
      <c r="T116" s="1"/>
      <c r="U116" s="1"/>
    </row>
    <row r="117" spans="1:2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t="str">
        <f t="shared" si="1"/>
        <v>Nomal</v>
      </c>
      <c r="T117" s="1"/>
      <c r="U117" s="1"/>
    </row>
    <row r="118" spans="1:2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t="str">
        <f t="shared" si="1"/>
        <v>Nomal</v>
      </c>
      <c r="T118" s="1"/>
      <c r="U118" s="1"/>
    </row>
    <row r="119" spans="1:2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t="str">
        <f t="shared" si="1"/>
        <v>Priority</v>
      </c>
      <c r="T119" s="1"/>
      <c r="U119" s="1"/>
    </row>
    <row r="120" spans="1:2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t="str">
        <f t="shared" si="1"/>
        <v>Priority</v>
      </c>
      <c r="T120" s="1"/>
      <c r="U120" s="1"/>
    </row>
    <row r="121" spans="1:2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t="str">
        <f t="shared" si="1"/>
        <v>Nomal</v>
      </c>
      <c r="T121" s="1"/>
      <c r="U121" s="1"/>
    </row>
    <row r="122" spans="1:2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t="str">
        <f t="shared" si="1"/>
        <v>Priority</v>
      </c>
      <c r="T122" s="1"/>
      <c r="U122" s="1"/>
    </row>
    <row r="123" spans="1:2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t="str">
        <f t="shared" si="1"/>
        <v>Nomal</v>
      </c>
      <c r="T123" s="1"/>
      <c r="U123" s="1"/>
    </row>
    <row r="124" spans="1:2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t="str">
        <f t="shared" si="1"/>
        <v>Nomal</v>
      </c>
      <c r="T124" s="1"/>
      <c r="U124" s="1"/>
    </row>
    <row r="125" spans="1:2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t="str">
        <f t="shared" si="1"/>
        <v>Priority</v>
      </c>
      <c r="T125" s="1"/>
      <c r="U125" s="1"/>
    </row>
    <row r="126" spans="1:2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t="str">
        <f t="shared" si="1"/>
        <v>Priority</v>
      </c>
      <c r="T126" s="1"/>
      <c r="U126" s="1"/>
    </row>
    <row r="127" spans="1:2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t="str">
        <f t="shared" si="1"/>
        <v>Nomal</v>
      </c>
      <c r="T127" s="1"/>
      <c r="U127" s="1"/>
    </row>
    <row r="128" spans="1:2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t="str">
        <f t="shared" si="1"/>
        <v>Priority</v>
      </c>
      <c r="T128" s="1"/>
      <c r="U128" s="1"/>
    </row>
    <row r="129" spans="1:2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t="str">
        <f t="shared" si="1"/>
        <v>Priority</v>
      </c>
      <c r="T129" s="1"/>
      <c r="U129" s="1"/>
    </row>
    <row r="130" spans="1:2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t="str">
        <f t="shared" si="1"/>
        <v>Nomal</v>
      </c>
      <c r="T130" s="1"/>
      <c r="U130" s="1"/>
    </row>
    <row r="131" spans="1:2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t="str">
        <f t="shared" ref="L131:L194" si="2">IF(OR(C130="mumbai", F130&gt;=15), "Priority", "Nomal")</f>
        <v>Priority</v>
      </c>
      <c r="T131" s="1"/>
      <c r="U131" s="1"/>
    </row>
    <row r="132" spans="1:2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t="str">
        <f t="shared" si="2"/>
        <v>Nomal</v>
      </c>
      <c r="T132" s="1"/>
      <c r="U132" s="1"/>
    </row>
    <row r="133" spans="1:2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t="str">
        <f t="shared" si="2"/>
        <v>Nomal</v>
      </c>
      <c r="T133" s="1"/>
      <c r="U133" s="1"/>
    </row>
    <row r="134" spans="1:2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t="str">
        <f t="shared" si="2"/>
        <v>Nomal</v>
      </c>
      <c r="T134" s="1"/>
      <c r="U134" s="1"/>
    </row>
    <row r="135" spans="1:2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t="str">
        <f t="shared" si="2"/>
        <v>Nomal</v>
      </c>
      <c r="T135" s="1"/>
      <c r="U135" s="1"/>
    </row>
    <row r="136" spans="1:2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t="str">
        <f t="shared" si="2"/>
        <v>Nomal</v>
      </c>
      <c r="T136" s="1"/>
      <c r="U136" s="1"/>
    </row>
    <row r="137" spans="1:2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t="str">
        <f t="shared" si="2"/>
        <v>Nomal</v>
      </c>
      <c r="T137" s="1"/>
      <c r="U137" s="1"/>
    </row>
    <row r="138" spans="1:2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t="str">
        <f t="shared" si="2"/>
        <v>Priority</v>
      </c>
      <c r="T138" s="1"/>
      <c r="U138" s="1"/>
    </row>
    <row r="139" spans="1:2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t="str">
        <f t="shared" si="2"/>
        <v>Priority</v>
      </c>
      <c r="T139" s="1"/>
      <c r="U139" s="1"/>
    </row>
    <row r="140" spans="1:2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t="str">
        <f t="shared" si="2"/>
        <v>Nomal</v>
      </c>
      <c r="T140" s="1"/>
      <c r="U140" s="1"/>
    </row>
    <row r="141" spans="1:2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t="str">
        <f t="shared" si="2"/>
        <v>Priority</v>
      </c>
      <c r="T141" s="1"/>
      <c r="U141" s="1"/>
    </row>
    <row r="142" spans="1:2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t="str">
        <f t="shared" si="2"/>
        <v>Priority</v>
      </c>
      <c r="T142" s="1"/>
      <c r="U142" s="1"/>
    </row>
    <row r="143" spans="1:2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t="str">
        <f t="shared" si="2"/>
        <v>Priority</v>
      </c>
      <c r="T143" s="1"/>
      <c r="U143" s="1"/>
    </row>
    <row r="144" spans="1:2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t="str">
        <f t="shared" si="2"/>
        <v>Nomal</v>
      </c>
      <c r="T144" s="1"/>
      <c r="U144" s="1"/>
    </row>
    <row r="145" spans="1:2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t="str">
        <f t="shared" si="2"/>
        <v>Nomal</v>
      </c>
      <c r="T145" s="1"/>
      <c r="U145" s="1"/>
    </row>
    <row r="146" spans="1:2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t="str">
        <f t="shared" si="2"/>
        <v>Priority</v>
      </c>
      <c r="T146" s="1"/>
      <c r="U146" s="1"/>
    </row>
    <row r="147" spans="1:2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t="str">
        <f t="shared" si="2"/>
        <v>Nomal</v>
      </c>
      <c r="T147" s="1"/>
      <c r="U147" s="1"/>
    </row>
    <row r="148" spans="1:2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t="str">
        <f t="shared" si="2"/>
        <v>Nomal</v>
      </c>
      <c r="T148" s="1"/>
      <c r="U148" s="1"/>
    </row>
    <row r="149" spans="1:2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t="str">
        <f t="shared" si="2"/>
        <v>Nomal</v>
      </c>
      <c r="T149" s="1"/>
      <c r="U149" s="1"/>
    </row>
    <row r="150" spans="1:2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t="str">
        <f t="shared" si="2"/>
        <v>Nomal</v>
      </c>
      <c r="T150" s="1"/>
      <c r="U150" s="1"/>
    </row>
    <row r="151" spans="1:2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t="str">
        <f t="shared" si="2"/>
        <v>Priority</v>
      </c>
      <c r="T151" s="1"/>
      <c r="U151" s="1"/>
    </row>
    <row r="152" spans="1:2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t="str">
        <f t="shared" si="2"/>
        <v>Nomal</v>
      </c>
      <c r="T152" s="1"/>
      <c r="U152" s="1"/>
    </row>
    <row r="153" spans="1:2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t="str">
        <f t="shared" si="2"/>
        <v>Priority</v>
      </c>
      <c r="T153" s="1"/>
      <c r="U153" s="1"/>
    </row>
    <row r="154" spans="1:2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t="str">
        <f t="shared" si="2"/>
        <v>Nomal</v>
      </c>
      <c r="T154" s="1"/>
      <c r="U154" s="1"/>
    </row>
    <row r="155" spans="1:2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t="str">
        <f t="shared" si="2"/>
        <v>Priority</v>
      </c>
      <c r="T155" s="1"/>
      <c r="U155" s="1"/>
    </row>
    <row r="156" spans="1:2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t="str">
        <f t="shared" si="2"/>
        <v>Priority</v>
      </c>
      <c r="T156" s="1"/>
      <c r="U156" s="1"/>
    </row>
    <row r="157" spans="1:2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t="str">
        <f t="shared" si="2"/>
        <v>Nomal</v>
      </c>
      <c r="T157" s="1"/>
      <c r="U157" s="1"/>
    </row>
    <row r="158" spans="1:2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t="str">
        <f t="shared" si="2"/>
        <v>Priority</v>
      </c>
      <c r="T158" s="1"/>
      <c r="U158" s="1"/>
    </row>
    <row r="159" spans="1:2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t="str">
        <f t="shared" si="2"/>
        <v>Nomal</v>
      </c>
      <c r="T159" s="1"/>
      <c r="U159" s="1"/>
    </row>
    <row r="160" spans="1:2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t="str">
        <f t="shared" si="2"/>
        <v>Priority</v>
      </c>
      <c r="T160" s="1"/>
      <c r="U160" s="1"/>
    </row>
    <row r="161" spans="1:2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t="str">
        <f t="shared" si="2"/>
        <v>Priority</v>
      </c>
      <c r="T161" s="1"/>
      <c r="U161" s="1"/>
    </row>
    <row r="162" spans="1:2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t="str">
        <f t="shared" si="2"/>
        <v>Nomal</v>
      </c>
      <c r="T162" s="1"/>
      <c r="U162" s="1"/>
    </row>
    <row r="163" spans="1:2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t="str">
        <f t="shared" si="2"/>
        <v>Nomal</v>
      </c>
      <c r="T163" s="1"/>
      <c r="U163" s="1"/>
    </row>
    <row r="164" spans="1:2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t="str">
        <f t="shared" si="2"/>
        <v>Nomal</v>
      </c>
      <c r="T164" s="1"/>
      <c r="U164" s="1"/>
    </row>
    <row r="165" spans="1:2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t="str">
        <f t="shared" si="2"/>
        <v>Priority</v>
      </c>
      <c r="T165" s="1"/>
      <c r="U165" s="1"/>
    </row>
    <row r="166" spans="1:2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t="str">
        <f t="shared" si="2"/>
        <v>Nomal</v>
      </c>
      <c r="T166" s="1"/>
      <c r="U166" s="1"/>
    </row>
    <row r="167" spans="1:2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t="str">
        <f t="shared" si="2"/>
        <v>Nomal</v>
      </c>
      <c r="T167" s="1"/>
      <c r="U167" s="1"/>
    </row>
    <row r="168" spans="1:2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t="str">
        <f t="shared" si="2"/>
        <v>Nomal</v>
      </c>
      <c r="T168" s="1"/>
      <c r="U168" s="1"/>
    </row>
    <row r="169" spans="1:2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t="str">
        <f t="shared" si="2"/>
        <v>Priority</v>
      </c>
      <c r="T169" s="1"/>
      <c r="U169" s="1"/>
    </row>
    <row r="170" spans="1:2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t="str">
        <f t="shared" si="2"/>
        <v>Priority</v>
      </c>
      <c r="T170" s="1"/>
      <c r="U170" s="1"/>
    </row>
    <row r="171" spans="1:2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t="str">
        <f t="shared" si="2"/>
        <v>Nomal</v>
      </c>
      <c r="T171" s="1"/>
      <c r="U171" s="1"/>
    </row>
    <row r="172" spans="1:2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t="str">
        <f t="shared" si="2"/>
        <v>Priority</v>
      </c>
      <c r="T172" s="1"/>
      <c r="U172" s="1"/>
    </row>
    <row r="173" spans="1:2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t="str">
        <f t="shared" si="2"/>
        <v>Priority</v>
      </c>
      <c r="T173" s="1"/>
      <c r="U173" s="1"/>
    </row>
    <row r="174" spans="1:2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t="str">
        <f t="shared" si="2"/>
        <v>Nomal</v>
      </c>
      <c r="T174" s="1"/>
      <c r="U174" s="1"/>
    </row>
    <row r="175" spans="1:2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t="str">
        <f t="shared" si="2"/>
        <v>Priority</v>
      </c>
      <c r="T175" s="1"/>
      <c r="U175" s="1"/>
    </row>
    <row r="176" spans="1:2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t="str">
        <f t="shared" si="2"/>
        <v>Priority</v>
      </c>
      <c r="T176" s="1"/>
      <c r="U176" s="1"/>
    </row>
    <row r="177" spans="1:2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t="str">
        <f t="shared" si="2"/>
        <v>Nomal</v>
      </c>
      <c r="T177" s="1"/>
      <c r="U177" s="1"/>
    </row>
    <row r="178" spans="1:2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t="str">
        <f t="shared" si="2"/>
        <v>Priority</v>
      </c>
      <c r="T178" s="1"/>
      <c r="U178" s="1"/>
    </row>
    <row r="179" spans="1:2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t="str">
        <f t="shared" si="2"/>
        <v>Nomal</v>
      </c>
      <c r="T179" s="1"/>
      <c r="U179" s="1"/>
    </row>
    <row r="180" spans="1:2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t="str">
        <f t="shared" si="2"/>
        <v>Nomal</v>
      </c>
      <c r="T180" s="1"/>
      <c r="U180" s="1"/>
    </row>
    <row r="181" spans="1:2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t="str">
        <f t="shared" si="2"/>
        <v>Nomal</v>
      </c>
      <c r="T181" s="1"/>
      <c r="U181" s="1"/>
    </row>
    <row r="182" spans="1:2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t="str">
        <f t="shared" si="2"/>
        <v>Nomal</v>
      </c>
      <c r="T182" s="1"/>
      <c r="U182" s="1"/>
    </row>
    <row r="183" spans="1:2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t="str">
        <f t="shared" si="2"/>
        <v>Nomal</v>
      </c>
      <c r="T183" s="1"/>
      <c r="U183" s="1"/>
    </row>
    <row r="184" spans="1:2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t="str">
        <f t="shared" si="2"/>
        <v>Nomal</v>
      </c>
      <c r="T184" s="1"/>
      <c r="U184" s="1"/>
    </row>
    <row r="185" spans="1:2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t="str">
        <f t="shared" si="2"/>
        <v>Nomal</v>
      </c>
      <c r="T185" s="1"/>
      <c r="U185" s="1"/>
    </row>
    <row r="186" spans="1:2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t="str">
        <f t="shared" si="2"/>
        <v>Nomal</v>
      </c>
      <c r="T186" s="1"/>
      <c r="U186" s="1"/>
    </row>
    <row r="187" spans="1:2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t="str">
        <f t="shared" si="2"/>
        <v>Priority</v>
      </c>
      <c r="T187" s="1"/>
      <c r="U187" s="1"/>
    </row>
    <row r="188" spans="1:2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t="str">
        <f t="shared" si="2"/>
        <v>Nomal</v>
      </c>
      <c r="T188" s="1"/>
      <c r="U188" s="1"/>
    </row>
    <row r="189" spans="1:2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t="str">
        <f t="shared" si="2"/>
        <v>Priority</v>
      </c>
      <c r="T189" s="1"/>
      <c r="U189" s="1"/>
    </row>
    <row r="190" spans="1:2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t="str">
        <f t="shared" si="2"/>
        <v>Nomal</v>
      </c>
      <c r="T190" s="1"/>
      <c r="U190" s="1"/>
    </row>
    <row r="191" spans="1:2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t="str">
        <f t="shared" si="2"/>
        <v>Nomal</v>
      </c>
      <c r="T191" s="1"/>
      <c r="U191" s="1"/>
    </row>
    <row r="192" spans="1:2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t="str">
        <f t="shared" si="2"/>
        <v>Nomal</v>
      </c>
      <c r="T192" s="1"/>
      <c r="U192" s="1"/>
    </row>
    <row r="193" spans="1:2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t="str">
        <f t="shared" si="2"/>
        <v>Nomal</v>
      </c>
      <c r="T193" s="1"/>
      <c r="U193" s="1"/>
    </row>
    <row r="194" spans="1:2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t="str">
        <f t="shared" si="2"/>
        <v>Priority</v>
      </c>
      <c r="T194" s="1"/>
      <c r="U194" s="1"/>
    </row>
    <row r="195" spans="1:2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t="str">
        <f t="shared" ref="L195:L258" si="3">IF(OR(C194="mumbai", F194&gt;=15), "Priority", "Nomal")</f>
        <v>Priority</v>
      </c>
      <c r="T195" s="1"/>
      <c r="U195" s="1"/>
    </row>
    <row r="196" spans="1:2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t="str">
        <f t="shared" si="3"/>
        <v>Nomal</v>
      </c>
      <c r="T196" s="1"/>
      <c r="U196" s="1"/>
    </row>
    <row r="197" spans="1:2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t="str">
        <f t="shared" si="3"/>
        <v>Priority</v>
      </c>
      <c r="T197" s="1"/>
      <c r="U197" s="1"/>
    </row>
    <row r="198" spans="1:2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t="str">
        <f t="shared" si="3"/>
        <v>Priority</v>
      </c>
      <c r="T198" s="1"/>
      <c r="U198" s="1"/>
    </row>
    <row r="199" spans="1:2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t="str">
        <f t="shared" si="3"/>
        <v>Nomal</v>
      </c>
      <c r="T199" s="1"/>
      <c r="U199" s="1"/>
    </row>
    <row r="200" spans="1:2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t="str">
        <f t="shared" si="3"/>
        <v>Nomal</v>
      </c>
      <c r="T200" s="1"/>
      <c r="U200" s="1"/>
    </row>
    <row r="201" spans="1:2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t="str">
        <f t="shared" si="3"/>
        <v>Nomal</v>
      </c>
      <c r="T201" s="1"/>
      <c r="U201" s="1"/>
    </row>
    <row r="202" spans="1:2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t="str">
        <f t="shared" si="3"/>
        <v>Nomal</v>
      </c>
      <c r="T202" s="1"/>
      <c r="U202" s="1"/>
    </row>
    <row r="203" spans="1:2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t="str">
        <f t="shared" si="3"/>
        <v>Priority</v>
      </c>
      <c r="T203" s="1"/>
      <c r="U203" s="1"/>
    </row>
    <row r="204" spans="1:2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t="str">
        <f t="shared" si="3"/>
        <v>Nomal</v>
      </c>
      <c r="T204" s="1"/>
      <c r="U204" s="1"/>
    </row>
    <row r="205" spans="1:2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t="str">
        <f t="shared" si="3"/>
        <v>Priority</v>
      </c>
      <c r="T205" s="1"/>
      <c r="U205" s="1"/>
    </row>
    <row r="206" spans="1:2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t="str">
        <f t="shared" si="3"/>
        <v>Nomal</v>
      </c>
      <c r="T206" s="1"/>
      <c r="U206" s="1"/>
    </row>
    <row r="207" spans="1:2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t="str">
        <f t="shared" si="3"/>
        <v>Priority</v>
      </c>
      <c r="T207" s="1"/>
      <c r="U207" s="1"/>
    </row>
    <row r="208" spans="1:2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t="str">
        <f t="shared" si="3"/>
        <v>Nomal</v>
      </c>
      <c r="T208" s="1"/>
      <c r="U208" s="1"/>
    </row>
    <row r="209" spans="1:2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t="str">
        <f t="shared" si="3"/>
        <v>Nomal</v>
      </c>
      <c r="T209" s="1"/>
      <c r="U209" s="1"/>
    </row>
    <row r="210" spans="1:2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t="str">
        <f t="shared" si="3"/>
        <v>Nomal</v>
      </c>
      <c r="T210" s="1"/>
      <c r="U210" s="1"/>
    </row>
    <row r="211" spans="1:2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t="str">
        <f t="shared" si="3"/>
        <v>Priority</v>
      </c>
      <c r="T211" s="1"/>
      <c r="U211" s="1"/>
    </row>
    <row r="212" spans="1:2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t="str">
        <f t="shared" si="3"/>
        <v>Nomal</v>
      </c>
      <c r="T212" s="1"/>
      <c r="U212" s="1"/>
    </row>
    <row r="213" spans="1:2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t="str">
        <f t="shared" si="3"/>
        <v>Nomal</v>
      </c>
      <c r="T213" s="1"/>
      <c r="U213" s="1"/>
    </row>
    <row r="214" spans="1:2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t="str">
        <f t="shared" si="3"/>
        <v>Nomal</v>
      </c>
      <c r="T214" s="1"/>
      <c r="U214" s="1"/>
    </row>
    <row r="215" spans="1:2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t="str">
        <f t="shared" si="3"/>
        <v>Priority</v>
      </c>
      <c r="T215" s="1"/>
      <c r="U215" s="1"/>
    </row>
    <row r="216" spans="1:2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t="str">
        <f t="shared" si="3"/>
        <v>Priority</v>
      </c>
      <c r="T216" s="1"/>
      <c r="U216" s="1"/>
    </row>
    <row r="217" spans="1:2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t="str">
        <f t="shared" si="3"/>
        <v>Nomal</v>
      </c>
      <c r="T217" s="1"/>
      <c r="U217" s="1"/>
    </row>
    <row r="218" spans="1:2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t="str">
        <f t="shared" si="3"/>
        <v>Nomal</v>
      </c>
      <c r="T218" s="1"/>
      <c r="U218" s="1"/>
    </row>
    <row r="219" spans="1:2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t="str">
        <f t="shared" si="3"/>
        <v>Priority</v>
      </c>
      <c r="T219" s="1"/>
      <c r="U219" s="1"/>
    </row>
    <row r="220" spans="1:2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t="str">
        <f t="shared" si="3"/>
        <v>Priority</v>
      </c>
      <c r="T220" s="1"/>
      <c r="U220" s="1"/>
    </row>
    <row r="221" spans="1:2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t="str">
        <f t="shared" si="3"/>
        <v>Nomal</v>
      </c>
      <c r="T221" s="1"/>
      <c r="U221" s="1"/>
    </row>
    <row r="222" spans="1:2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t="str">
        <f t="shared" si="3"/>
        <v>Nomal</v>
      </c>
      <c r="T222" s="1"/>
      <c r="U222" s="1"/>
    </row>
    <row r="223" spans="1:2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t="str">
        <f t="shared" si="3"/>
        <v>Priority</v>
      </c>
      <c r="T223" s="1"/>
      <c r="U223" s="1"/>
    </row>
    <row r="224" spans="1:2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t="str">
        <f t="shared" si="3"/>
        <v>Nomal</v>
      </c>
      <c r="T224" s="1"/>
      <c r="U224" s="1"/>
    </row>
    <row r="225" spans="1:2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t="str">
        <f t="shared" si="3"/>
        <v>Nomal</v>
      </c>
      <c r="T225" s="1"/>
      <c r="U225" s="1"/>
    </row>
    <row r="226" spans="1:2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t="str">
        <f t="shared" si="3"/>
        <v>Priority</v>
      </c>
      <c r="T226" s="1"/>
      <c r="U226" s="1"/>
    </row>
    <row r="227" spans="1:2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t="str">
        <f t="shared" si="3"/>
        <v>Priority</v>
      </c>
      <c r="T227" s="1"/>
      <c r="U227" s="1"/>
    </row>
    <row r="228" spans="1:2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t="str">
        <f t="shared" si="3"/>
        <v>Nomal</v>
      </c>
      <c r="T228" s="1"/>
      <c r="U228" s="1"/>
    </row>
    <row r="229" spans="1:2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t="str">
        <f t="shared" si="3"/>
        <v>Priority</v>
      </c>
      <c r="T229" s="1"/>
      <c r="U229" s="1"/>
    </row>
    <row r="230" spans="1:2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t="str">
        <f t="shared" si="3"/>
        <v>Priority</v>
      </c>
      <c r="T230" s="1"/>
      <c r="U230" s="1"/>
    </row>
    <row r="231" spans="1:2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t="str">
        <f t="shared" si="3"/>
        <v>Nomal</v>
      </c>
      <c r="T231" s="1"/>
      <c r="U231" s="1"/>
    </row>
    <row r="232" spans="1:2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t="str">
        <f t="shared" si="3"/>
        <v>Nomal</v>
      </c>
      <c r="T232" s="1"/>
      <c r="U232" s="1"/>
    </row>
    <row r="233" spans="1:2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t="str">
        <f t="shared" si="3"/>
        <v>Priority</v>
      </c>
      <c r="T233" s="1"/>
      <c r="U233" s="1"/>
    </row>
    <row r="234" spans="1:2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t="str">
        <f t="shared" si="3"/>
        <v>Nomal</v>
      </c>
      <c r="T234" s="1"/>
      <c r="U234" s="1"/>
    </row>
    <row r="235" spans="1:2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t="str">
        <f t="shared" si="3"/>
        <v>Priority</v>
      </c>
      <c r="T235" s="1"/>
      <c r="U235" s="1"/>
    </row>
    <row r="236" spans="1:2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t="str">
        <f t="shared" si="3"/>
        <v>Nomal</v>
      </c>
      <c r="T236" s="1"/>
      <c r="U236" s="1"/>
    </row>
    <row r="237" spans="1:2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t="str">
        <f t="shared" si="3"/>
        <v>Priority</v>
      </c>
      <c r="T237" s="1"/>
      <c r="U237" s="1"/>
    </row>
    <row r="238" spans="1:2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t="str">
        <f t="shared" si="3"/>
        <v>Nomal</v>
      </c>
      <c r="T238" s="1"/>
      <c r="U238" s="1"/>
    </row>
    <row r="239" spans="1:2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t="str">
        <f t="shared" si="3"/>
        <v>Priority</v>
      </c>
      <c r="T239" s="1"/>
      <c r="U239" s="1"/>
    </row>
    <row r="240" spans="1:2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t="str">
        <f t="shared" si="3"/>
        <v>Nomal</v>
      </c>
      <c r="T240" s="1"/>
      <c r="U240" s="1"/>
    </row>
    <row r="241" spans="1:2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t="str">
        <f t="shared" si="3"/>
        <v>Nomal</v>
      </c>
      <c r="T241" s="1"/>
      <c r="U241" s="1"/>
    </row>
    <row r="242" spans="1:2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t="str">
        <f t="shared" si="3"/>
        <v>Nomal</v>
      </c>
      <c r="T242" s="1"/>
      <c r="U242" s="1"/>
    </row>
    <row r="243" spans="1:2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t="str">
        <f t="shared" si="3"/>
        <v>Nomal</v>
      </c>
      <c r="T243" s="1"/>
      <c r="U243" s="1"/>
    </row>
    <row r="244" spans="1:2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t="str">
        <f t="shared" si="3"/>
        <v>Priority</v>
      </c>
      <c r="T244" s="1"/>
      <c r="U244" s="1"/>
    </row>
    <row r="245" spans="1:2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t="str">
        <f t="shared" si="3"/>
        <v>Nomal</v>
      </c>
      <c r="T245" s="1"/>
      <c r="U245" s="1"/>
    </row>
    <row r="246" spans="1:2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t="str">
        <f t="shared" si="3"/>
        <v>Priority</v>
      </c>
      <c r="T246" s="1"/>
      <c r="U246" s="1"/>
    </row>
    <row r="247" spans="1:2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t="str">
        <f t="shared" si="3"/>
        <v>Priority</v>
      </c>
      <c r="T247" s="1"/>
      <c r="U247" s="1"/>
    </row>
    <row r="248" spans="1:2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t="str">
        <f t="shared" si="3"/>
        <v>Nomal</v>
      </c>
      <c r="T248" s="1"/>
      <c r="U248" s="1"/>
    </row>
    <row r="249" spans="1:2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t="str">
        <f t="shared" si="3"/>
        <v>Nomal</v>
      </c>
      <c r="T249" s="1"/>
      <c r="U249" s="1"/>
    </row>
    <row r="250" spans="1:2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t="str">
        <f t="shared" si="3"/>
        <v>Nomal</v>
      </c>
      <c r="T250" s="1"/>
      <c r="U250" s="1"/>
    </row>
    <row r="251" spans="1:2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t="str">
        <f t="shared" si="3"/>
        <v>Priority</v>
      </c>
      <c r="T251" s="1"/>
      <c r="U251" s="1"/>
    </row>
    <row r="252" spans="1:2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t="str">
        <f t="shared" si="3"/>
        <v>Nomal</v>
      </c>
      <c r="T252" s="1"/>
      <c r="U252" s="1"/>
    </row>
    <row r="253" spans="1:2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t="str">
        <f t="shared" si="3"/>
        <v>Priority</v>
      </c>
      <c r="T253" s="1"/>
      <c r="U253" s="1"/>
    </row>
    <row r="254" spans="1:2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t="str">
        <f t="shared" si="3"/>
        <v>Priority</v>
      </c>
      <c r="T254" s="1"/>
      <c r="U254" s="1"/>
    </row>
    <row r="255" spans="1:2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t="str">
        <f t="shared" si="3"/>
        <v>Priority</v>
      </c>
      <c r="T255" s="1"/>
      <c r="U255" s="1"/>
    </row>
    <row r="256" spans="1:2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t="str">
        <f t="shared" si="3"/>
        <v>Priority</v>
      </c>
      <c r="T256" s="1"/>
      <c r="U256" s="1"/>
    </row>
    <row r="257" spans="1:2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t="str">
        <f t="shared" si="3"/>
        <v>Nomal</v>
      </c>
      <c r="T257" s="1"/>
      <c r="U257" s="1"/>
    </row>
    <row r="258" spans="1:2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t="str">
        <f t="shared" si="3"/>
        <v>Priority</v>
      </c>
      <c r="T258" s="1"/>
      <c r="U258" s="1"/>
    </row>
    <row r="259" spans="1:2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t="str">
        <f t="shared" ref="L259:L322" si="4">IF(OR(C258="mumbai", F258&gt;=15), "Priority", "Nomal")</f>
        <v>Nomal</v>
      </c>
      <c r="T259" s="1"/>
      <c r="U259" s="1"/>
    </row>
    <row r="260" spans="1:2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t="str">
        <f t="shared" si="4"/>
        <v>Nomal</v>
      </c>
      <c r="T260" s="1"/>
      <c r="U260" s="1"/>
    </row>
    <row r="261" spans="1:2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t="str">
        <f t="shared" si="4"/>
        <v>Nomal</v>
      </c>
      <c r="T261" s="1"/>
      <c r="U261" s="1"/>
    </row>
    <row r="262" spans="1:2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t="str">
        <f t="shared" si="4"/>
        <v>Priority</v>
      </c>
      <c r="T262" s="1"/>
      <c r="U262" s="1"/>
    </row>
    <row r="263" spans="1:2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t="str">
        <f t="shared" si="4"/>
        <v>Priority</v>
      </c>
      <c r="T263" s="1"/>
      <c r="U263" s="1"/>
    </row>
    <row r="264" spans="1:2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t="str">
        <f t="shared" si="4"/>
        <v>Nomal</v>
      </c>
      <c r="T264" s="1"/>
      <c r="U264" s="1"/>
    </row>
    <row r="265" spans="1:2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t="str">
        <f t="shared" si="4"/>
        <v>Priority</v>
      </c>
      <c r="T265" s="1"/>
      <c r="U265" s="1"/>
    </row>
    <row r="266" spans="1:2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t="str">
        <f t="shared" si="4"/>
        <v>Priority</v>
      </c>
      <c r="T266" s="1"/>
      <c r="U266" s="1"/>
    </row>
    <row r="267" spans="1:2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t="str">
        <f t="shared" si="4"/>
        <v>Nomal</v>
      </c>
      <c r="T267" s="1"/>
      <c r="U267" s="1"/>
    </row>
    <row r="268" spans="1:2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t="str">
        <f t="shared" si="4"/>
        <v>Priority</v>
      </c>
      <c r="T268" s="1"/>
      <c r="U268" s="1"/>
    </row>
    <row r="269" spans="1:2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t="str">
        <f t="shared" si="4"/>
        <v>Priority</v>
      </c>
      <c r="T269" s="1"/>
      <c r="U269" s="1"/>
    </row>
    <row r="270" spans="1:2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t="str">
        <f t="shared" si="4"/>
        <v>Priority</v>
      </c>
      <c r="T270" s="1"/>
      <c r="U270" s="1"/>
    </row>
    <row r="271" spans="1:2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t="str">
        <f t="shared" si="4"/>
        <v>Nomal</v>
      </c>
      <c r="T271" s="1"/>
      <c r="U271" s="1"/>
    </row>
    <row r="272" spans="1:2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t="str">
        <f t="shared" si="4"/>
        <v>Priority</v>
      </c>
      <c r="T272" s="1"/>
      <c r="U272" s="1"/>
    </row>
    <row r="273" spans="1:2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t="str">
        <f t="shared" si="4"/>
        <v>Priority</v>
      </c>
      <c r="T273" s="1"/>
      <c r="U273" s="1"/>
    </row>
    <row r="274" spans="1:2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t="str">
        <f t="shared" si="4"/>
        <v>Priority</v>
      </c>
      <c r="T274" s="1"/>
      <c r="U274" s="1"/>
    </row>
    <row r="275" spans="1:2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t="str">
        <f t="shared" si="4"/>
        <v>Nomal</v>
      </c>
      <c r="T275" s="1"/>
      <c r="U275" s="1"/>
    </row>
    <row r="276" spans="1:2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t="str">
        <f t="shared" si="4"/>
        <v>Nomal</v>
      </c>
      <c r="T276" s="1"/>
      <c r="U276" s="1"/>
    </row>
    <row r="277" spans="1:2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t="str">
        <f t="shared" si="4"/>
        <v>Priority</v>
      </c>
      <c r="T277" s="1"/>
      <c r="U277" s="1"/>
    </row>
    <row r="278" spans="1:2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t="str">
        <f t="shared" si="4"/>
        <v>Nomal</v>
      </c>
      <c r="T278" s="1"/>
      <c r="U278" s="1"/>
    </row>
    <row r="279" spans="1:2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t="str">
        <f t="shared" si="4"/>
        <v>Nomal</v>
      </c>
      <c r="T279" s="1"/>
      <c r="U279" s="1"/>
    </row>
    <row r="280" spans="1:2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t="str">
        <f t="shared" si="4"/>
        <v>Nomal</v>
      </c>
      <c r="T280" s="1"/>
      <c r="U280" s="1"/>
    </row>
    <row r="281" spans="1:2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t="str">
        <f t="shared" si="4"/>
        <v>Priority</v>
      </c>
      <c r="T281" s="1"/>
      <c r="U281" s="1"/>
    </row>
    <row r="282" spans="1:2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t="str">
        <f t="shared" si="4"/>
        <v>Priority</v>
      </c>
      <c r="T282" s="1"/>
      <c r="U282" s="1"/>
    </row>
    <row r="283" spans="1:2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t="str">
        <f t="shared" si="4"/>
        <v>Nomal</v>
      </c>
      <c r="T283" s="1"/>
      <c r="U283" s="1"/>
    </row>
    <row r="284" spans="1:2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t="str">
        <f t="shared" si="4"/>
        <v>Nomal</v>
      </c>
      <c r="T284" s="1"/>
      <c r="U284" s="1"/>
    </row>
    <row r="285" spans="1:2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t="str">
        <f t="shared" si="4"/>
        <v>Nomal</v>
      </c>
      <c r="T285" s="1"/>
      <c r="U285" s="1"/>
    </row>
    <row r="286" spans="1:2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t="str">
        <f t="shared" si="4"/>
        <v>Priority</v>
      </c>
      <c r="T286" s="1"/>
      <c r="U286" s="1"/>
    </row>
    <row r="287" spans="1:2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t="str">
        <f t="shared" si="4"/>
        <v>Priority</v>
      </c>
      <c r="T287" s="1"/>
      <c r="U287" s="1"/>
    </row>
    <row r="288" spans="1:2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t="str">
        <f t="shared" si="4"/>
        <v>Nomal</v>
      </c>
      <c r="T288" s="1"/>
      <c r="U288" s="1"/>
    </row>
    <row r="289" spans="1:2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t="str">
        <f t="shared" si="4"/>
        <v>Priority</v>
      </c>
      <c r="T289" s="1"/>
      <c r="U289" s="1"/>
    </row>
    <row r="290" spans="1:2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t="str">
        <f t="shared" si="4"/>
        <v>Nomal</v>
      </c>
      <c r="T290" s="1"/>
      <c r="U290" s="1"/>
    </row>
    <row r="291" spans="1:2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t="str">
        <f t="shared" si="4"/>
        <v>Priority</v>
      </c>
      <c r="T291" s="1"/>
      <c r="U291" s="1"/>
    </row>
    <row r="292" spans="1:2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t="str">
        <f t="shared" si="4"/>
        <v>Nomal</v>
      </c>
      <c r="T292" s="1"/>
      <c r="U292" s="1"/>
    </row>
    <row r="293" spans="1:2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t="str">
        <f t="shared" si="4"/>
        <v>Priority</v>
      </c>
      <c r="T293" s="1"/>
      <c r="U293" s="1"/>
    </row>
    <row r="294" spans="1:2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t="str">
        <f t="shared" si="4"/>
        <v>Nomal</v>
      </c>
      <c r="T294" s="1"/>
      <c r="U294" s="1"/>
    </row>
    <row r="295" spans="1:2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t="str">
        <f t="shared" si="4"/>
        <v>Nomal</v>
      </c>
      <c r="T295" s="1"/>
      <c r="U295" s="1"/>
    </row>
    <row r="296" spans="1:2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t="str">
        <f t="shared" si="4"/>
        <v>Nomal</v>
      </c>
      <c r="T296" s="1"/>
      <c r="U296" s="1"/>
    </row>
    <row r="297" spans="1:2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t="str">
        <f t="shared" si="4"/>
        <v>Priority</v>
      </c>
      <c r="T297" s="1"/>
      <c r="U297" s="1"/>
    </row>
    <row r="298" spans="1:2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t="str">
        <f t="shared" si="4"/>
        <v>Priority</v>
      </c>
      <c r="T298" s="1"/>
      <c r="U298" s="1"/>
    </row>
    <row r="299" spans="1:2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t="str">
        <f t="shared" si="4"/>
        <v>Nomal</v>
      </c>
      <c r="T299" s="1"/>
      <c r="U299" s="1"/>
    </row>
    <row r="300" spans="1:2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t="str">
        <f t="shared" si="4"/>
        <v>Priority</v>
      </c>
      <c r="T300" s="1"/>
      <c r="U300" s="1"/>
    </row>
    <row r="301" spans="1:2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t="str">
        <f t="shared" si="4"/>
        <v>Nomal</v>
      </c>
      <c r="T301" s="1"/>
      <c r="U301" s="1"/>
    </row>
    <row r="302" spans="1:2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t="str">
        <f t="shared" si="4"/>
        <v>Priority</v>
      </c>
      <c r="T302" s="1"/>
      <c r="U302" s="1"/>
    </row>
    <row r="303" spans="1:2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t="str">
        <f t="shared" si="4"/>
        <v>Nomal</v>
      </c>
      <c r="T303" s="1"/>
      <c r="U303" s="1"/>
    </row>
    <row r="304" spans="1:2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t="str">
        <f t="shared" si="4"/>
        <v>Nomal</v>
      </c>
      <c r="T304" s="1"/>
      <c r="U304" s="1"/>
    </row>
    <row r="305" spans="1:2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t="str">
        <f t="shared" si="4"/>
        <v>Priority</v>
      </c>
      <c r="T305" s="1"/>
      <c r="U305" s="1"/>
    </row>
    <row r="306" spans="1:2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t="str">
        <f t="shared" si="4"/>
        <v>Priority</v>
      </c>
      <c r="T306" s="1"/>
      <c r="U306" s="1"/>
    </row>
    <row r="307" spans="1:2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t="str">
        <f t="shared" si="4"/>
        <v>Priority</v>
      </c>
      <c r="T307" s="1"/>
      <c r="U307" s="1"/>
    </row>
    <row r="308" spans="1:2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t="str">
        <f t="shared" si="4"/>
        <v>Nomal</v>
      </c>
      <c r="T308" s="1"/>
      <c r="U308" s="1"/>
    </row>
    <row r="309" spans="1:2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t="str">
        <f t="shared" si="4"/>
        <v>Priority</v>
      </c>
      <c r="T309" s="1"/>
      <c r="U309" s="1"/>
    </row>
    <row r="310" spans="1:2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t="str">
        <f t="shared" si="4"/>
        <v>Nomal</v>
      </c>
      <c r="T310" s="1"/>
      <c r="U310" s="1"/>
    </row>
    <row r="311" spans="1:2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t="str">
        <f t="shared" si="4"/>
        <v>Nomal</v>
      </c>
      <c r="T311" s="1"/>
      <c r="U311" s="1"/>
    </row>
    <row r="312" spans="1:2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t="str">
        <f t="shared" si="4"/>
        <v>Priority</v>
      </c>
      <c r="T312" s="1"/>
      <c r="U312" s="1"/>
    </row>
    <row r="313" spans="1:2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t="str">
        <f t="shared" si="4"/>
        <v>Nomal</v>
      </c>
      <c r="T313" s="1"/>
      <c r="U313" s="1"/>
    </row>
    <row r="314" spans="1:2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t="str">
        <f t="shared" si="4"/>
        <v>Priority</v>
      </c>
      <c r="T314" s="1"/>
      <c r="U314" s="1"/>
    </row>
    <row r="315" spans="1:2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t="str">
        <f t="shared" si="4"/>
        <v>Nomal</v>
      </c>
      <c r="T315" s="1"/>
      <c r="U315" s="1"/>
    </row>
    <row r="316" spans="1:2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t="str">
        <f t="shared" si="4"/>
        <v>Nomal</v>
      </c>
      <c r="T316" s="1"/>
      <c r="U316" s="1"/>
    </row>
    <row r="317" spans="1:2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t="str">
        <f t="shared" si="4"/>
        <v>Nomal</v>
      </c>
      <c r="T317" s="1"/>
      <c r="U317" s="1"/>
    </row>
    <row r="318" spans="1:2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t="str">
        <f t="shared" si="4"/>
        <v>Nomal</v>
      </c>
      <c r="T318" s="1"/>
      <c r="U318" s="1"/>
    </row>
    <row r="319" spans="1:2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t="str">
        <f t="shared" si="4"/>
        <v>Nomal</v>
      </c>
      <c r="T319" s="1"/>
      <c r="U319" s="1"/>
    </row>
    <row r="320" spans="1:2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t="str">
        <f t="shared" si="4"/>
        <v>Nomal</v>
      </c>
      <c r="T320" s="1"/>
      <c r="U320" s="1"/>
    </row>
    <row r="321" spans="1:2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t="str">
        <f t="shared" si="4"/>
        <v>Priority</v>
      </c>
      <c r="T321" s="1"/>
      <c r="U321" s="1"/>
    </row>
    <row r="322" spans="1:2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t="str">
        <f t="shared" si="4"/>
        <v>Priority</v>
      </c>
      <c r="T322" s="1"/>
      <c r="U322" s="1"/>
    </row>
    <row r="323" spans="1:2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t="str">
        <f t="shared" ref="L323:L386" si="5">IF(OR(C322="mumbai", F322&gt;=15), "Priority", "Nomal")</f>
        <v>Nomal</v>
      </c>
      <c r="T323" s="1"/>
      <c r="U323" s="1"/>
    </row>
    <row r="324" spans="1:2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t="str">
        <f t="shared" si="5"/>
        <v>Nomal</v>
      </c>
      <c r="T324" s="1"/>
      <c r="U324" s="1"/>
    </row>
    <row r="325" spans="1:2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t="str">
        <f t="shared" si="5"/>
        <v>Priority</v>
      </c>
      <c r="T325" s="1"/>
      <c r="U325" s="1"/>
    </row>
    <row r="326" spans="1:2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t="str">
        <f t="shared" si="5"/>
        <v>Nomal</v>
      </c>
      <c r="T326" s="1"/>
      <c r="U326" s="1"/>
    </row>
    <row r="327" spans="1:2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t="str">
        <f t="shared" si="5"/>
        <v>Nomal</v>
      </c>
      <c r="T327" s="1"/>
      <c r="U327" s="1"/>
    </row>
    <row r="328" spans="1:2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t="str">
        <f t="shared" si="5"/>
        <v>Priority</v>
      </c>
      <c r="T328" s="1"/>
      <c r="U328" s="1"/>
    </row>
    <row r="329" spans="1:2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t="str">
        <f t="shared" si="5"/>
        <v>Priority</v>
      </c>
      <c r="T329" s="1"/>
      <c r="U329" s="1"/>
    </row>
    <row r="330" spans="1:2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t="str">
        <f t="shared" si="5"/>
        <v>Priority</v>
      </c>
      <c r="T330" s="1"/>
      <c r="U330" s="1"/>
    </row>
    <row r="331" spans="1:2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t="str">
        <f t="shared" si="5"/>
        <v>Priority</v>
      </c>
      <c r="T331" s="1"/>
      <c r="U331" s="1"/>
    </row>
    <row r="332" spans="1:2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t="str">
        <f t="shared" si="5"/>
        <v>Nomal</v>
      </c>
      <c r="T332" s="1"/>
      <c r="U332" s="1"/>
    </row>
    <row r="333" spans="1:2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t="str">
        <f t="shared" si="5"/>
        <v>Nomal</v>
      </c>
      <c r="T333" s="1"/>
      <c r="U333" s="1"/>
    </row>
    <row r="334" spans="1:2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t="str">
        <f t="shared" si="5"/>
        <v>Nomal</v>
      </c>
      <c r="T334" s="1"/>
      <c r="U334" s="1"/>
    </row>
    <row r="335" spans="1:2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t="str">
        <f t="shared" si="5"/>
        <v>Priority</v>
      </c>
      <c r="T335" s="1"/>
      <c r="U335" s="1"/>
    </row>
    <row r="336" spans="1:2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t="str">
        <f t="shared" si="5"/>
        <v>Priority</v>
      </c>
      <c r="T336" s="1"/>
      <c r="U336" s="1"/>
    </row>
    <row r="337" spans="1:2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t="str">
        <f t="shared" si="5"/>
        <v>Nomal</v>
      </c>
      <c r="T337" s="1"/>
      <c r="U337" s="1"/>
    </row>
    <row r="338" spans="1:2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t="str">
        <f t="shared" si="5"/>
        <v>Nomal</v>
      </c>
      <c r="T338" s="1"/>
      <c r="U338" s="1"/>
    </row>
    <row r="339" spans="1:2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t="str">
        <f t="shared" si="5"/>
        <v>Nomal</v>
      </c>
      <c r="T339" s="1"/>
      <c r="U339" s="1"/>
    </row>
    <row r="340" spans="1:2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t="str">
        <f t="shared" si="5"/>
        <v>Nomal</v>
      </c>
      <c r="T340" s="1"/>
      <c r="U340" s="1"/>
    </row>
    <row r="341" spans="1:2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t="str">
        <f t="shared" si="5"/>
        <v>Nomal</v>
      </c>
      <c r="T341" s="1"/>
      <c r="U341" s="1"/>
    </row>
    <row r="342" spans="1:2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t="str">
        <f t="shared" si="5"/>
        <v>Nomal</v>
      </c>
      <c r="T342" s="1"/>
      <c r="U342" s="1"/>
    </row>
    <row r="343" spans="1:2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t="str">
        <f t="shared" si="5"/>
        <v>Priority</v>
      </c>
      <c r="T343" s="1"/>
      <c r="U343" s="1"/>
    </row>
    <row r="344" spans="1:2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t="str">
        <f t="shared" si="5"/>
        <v>Nomal</v>
      </c>
      <c r="T344" s="1"/>
      <c r="U344" s="1"/>
    </row>
    <row r="345" spans="1:2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t="str">
        <f t="shared" si="5"/>
        <v>Nomal</v>
      </c>
      <c r="T345" s="1"/>
      <c r="U345" s="1"/>
    </row>
    <row r="346" spans="1:2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t="str">
        <f t="shared" si="5"/>
        <v>Priority</v>
      </c>
      <c r="T346" s="1"/>
      <c r="U346" s="1"/>
    </row>
    <row r="347" spans="1:2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t="str">
        <f t="shared" si="5"/>
        <v>Nomal</v>
      </c>
      <c r="T347" s="1"/>
      <c r="U347" s="1"/>
    </row>
    <row r="348" spans="1:2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t="str">
        <f t="shared" si="5"/>
        <v>Priority</v>
      </c>
      <c r="T348" s="1"/>
      <c r="U348" s="1"/>
    </row>
    <row r="349" spans="1:2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t="str">
        <f t="shared" si="5"/>
        <v>Priority</v>
      </c>
      <c r="T349" s="1"/>
      <c r="U349" s="1"/>
    </row>
    <row r="350" spans="1:2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t="str">
        <f t="shared" si="5"/>
        <v>Nomal</v>
      </c>
      <c r="T350" s="1"/>
      <c r="U350" s="1"/>
    </row>
    <row r="351" spans="1:2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t="str">
        <f t="shared" si="5"/>
        <v>Priority</v>
      </c>
      <c r="T351" s="1"/>
      <c r="U351" s="1"/>
    </row>
    <row r="352" spans="1:2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t="str">
        <f t="shared" si="5"/>
        <v>Priority</v>
      </c>
      <c r="T352" s="1"/>
      <c r="U352" s="1"/>
    </row>
    <row r="353" spans="1:2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t="str">
        <f t="shared" si="5"/>
        <v>Nomal</v>
      </c>
      <c r="T353" s="1"/>
      <c r="U353" s="1"/>
    </row>
    <row r="354" spans="1:2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t="str">
        <f t="shared" si="5"/>
        <v>Nomal</v>
      </c>
      <c r="T354" s="1"/>
      <c r="U354" s="1"/>
    </row>
    <row r="355" spans="1:2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t="str">
        <f t="shared" si="5"/>
        <v>Nomal</v>
      </c>
      <c r="T355" s="1"/>
      <c r="U355" s="1"/>
    </row>
    <row r="356" spans="1:2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t="str">
        <f t="shared" si="5"/>
        <v>Priority</v>
      </c>
      <c r="T356" s="1"/>
      <c r="U356" s="1"/>
    </row>
    <row r="357" spans="1:2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t="str">
        <f t="shared" si="5"/>
        <v>Priority</v>
      </c>
      <c r="T357" s="1"/>
      <c r="U357" s="1"/>
    </row>
    <row r="358" spans="1:2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t="str">
        <f t="shared" si="5"/>
        <v>Priority</v>
      </c>
      <c r="T358" s="1"/>
      <c r="U358" s="1"/>
    </row>
    <row r="359" spans="1:2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t="str">
        <f t="shared" si="5"/>
        <v>Nomal</v>
      </c>
      <c r="T359" s="1"/>
      <c r="U359" s="1"/>
    </row>
    <row r="360" spans="1:2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t="str">
        <f t="shared" si="5"/>
        <v>Priority</v>
      </c>
      <c r="T360" s="1"/>
      <c r="U360" s="1"/>
    </row>
    <row r="361" spans="1:2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t="str">
        <f t="shared" si="5"/>
        <v>Nomal</v>
      </c>
      <c r="T361" s="1"/>
      <c r="U361" s="1"/>
    </row>
    <row r="362" spans="1:2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t="str">
        <f t="shared" si="5"/>
        <v>Priority</v>
      </c>
      <c r="T362" s="1"/>
      <c r="U362" s="1"/>
    </row>
    <row r="363" spans="1:2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t="str">
        <f t="shared" si="5"/>
        <v>Nomal</v>
      </c>
      <c r="T363" s="1"/>
      <c r="U363" s="1"/>
    </row>
    <row r="364" spans="1:2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t="str">
        <f t="shared" si="5"/>
        <v>Nomal</v>
      </c>
      <c r="T364" s="1"/>
      <c r="U364" s="1"/>
    </row>
    <row r="365" spans="1:2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t="str">
        <f t="shared" si="5"/>
        <v>Nomal</v>
      </c>
      <c r="T365" s="1"/>
      <c r="U365" s="1"/>
    </row>
    <row r="366" spans="1:2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t="str">
        <f t="shared" si="5"/>
        <v>Priority</v>
      </c>
      <c r="T366" s="1"/>
      <c r="U366" s="1"/>
    </row>
    <row r="367" spans="1:2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t="str">
        <f t="shared" si="5"/>
        <v>Priority</v>
      </c>
      <c r="T367" s="1"/>
      <c r="U367" s="1"/>
    </row>
    <row r="368" spans="1:2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t="str">
        <f t="shared" si="5"/>
        <v>Priority</v>
      </c>
      <c r="T368" s="1"/>
      <c r="U368" s="1"/>
    </row>
    <row r="369" spans="1:2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t="str">
        <f t="shared" si="5"/>
        <v>Nomal</v>
      </c>
      <c r="T369" s="1"/>
      <c r="U369" s="1"/>
    </row>
    <row r="370" spans="1:2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t="str">
        <f t="shared" si="5"/>
        <v>Priority</v>
      </c>
      <c r="T370" s="1"/>
      <c r="U370" s="1"/>
    </row>
    <row r="371" spans="1:2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t="str">
        <f t="shared" si="5"/>
        <v>Priority</v>
      </c>
      <c r="T371" s="1"/>
      <c r="U371" s="1"/>
    </row>
    <row r="372" spans="1:2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t="str">
        <f t="shared" si="5"/>
        <v>Priority</v>
      </c>
      <c r="T372" s="1"/>
      <c r="U372" s="1"/>
    </row>
    <row r="373" spans="1:2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t="str">
        <f t="shared" si="5"/>
        <v>Priority</v>
      </c>
      <c r="T373" s="1"/>
      <c r="U373" s="1"/>
    </row>
    <row r="374" spans="1:2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t="str">
        <f t="shared" si="5"/>
        <v>Nomal</v>
      </c>
      <c r="T374" s="1"/>
      <c r="U374" s="1"/>
    </row>
    <row r="375" spans="1:2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t="str">
        <f t="shared" si="5"/>
        <v>Nomal</v>
      </c>
      <c r="T375" s="1"/>
      <c r="U375" s="1"/>
    </row>
    <row r="376" spans="1:2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t="str">
        <f t="shared" si="5"/>
        <v>Nomal</v>
      </c>
      <c r="T376" s="1"/>
      <c r="U376" s="1"/>
    </row>
    <row r="377" spans="1:2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t="str">
        <f t="shared" si="5"/>
        <v>Priority</v>
      </c>
      <c r="T377" s="1"/>
      <c r="U377" s="1"/>
    </row>
    <row r="378" spans="1:2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t="str">
        <f t="shared" si="5"/>
        <v>Priority</v>
      </c>
      <c r="T378" s="1"/>
      <c r="U378" s="1"/>
    </row>
    <row r="379" spans="1:2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t="str">
        <f t="shared" si="5"/>
        <v>Priority</v>
      </c>
      <c r="T379" s="1"/>
      <c r="U379" s="1"/>
    </row>
    <row r="380" spans="1:2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t="str">
        <f t="shared" si="5"/>
        <v>Priority</v>
      </c>
      <c r="T380" s="1"/>
      <c r="U380" s="1"/>
    </row>
    <row r="381" spans="1:2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t="str">
        <f t="shared" si="5"/>
        <v>Nomal</v>
      </c>
      <c r="T381" s="1"/>
      <c r="U381" s="1"/>
    </row>
    <row r="382" spans="1:2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t="str">
        <f t="shared" si="5"/>
        <v>Nomal</v>
      </c>
      <c r="T382" s="1"/>
      <c r="U382" s="1"/>
    </row>
    <row r="383" spans="1:2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t="str">
        <f t="shared" si="5"/>
        <v>Nomal</v>
      </c>
      <c r="T383" s="1"/>
      <c r="U383" s="1"/>
    </row>
    <row r="384" spans="1:2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t="str">
        <f t="shared" si="5"/>
        <v>Nomal</v>
      </c>
      <c r="T384" s="1"/>
      <c r="U384" s="1"/>
    </row>
    <row r="385" spans="1:2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t="str">
        <f t="shared" si="5"/>
        <v>Nomal</v>
      </c>
      <c r="T385" s="1"/>
      <c r="U385" s="1"/>
    </row>
    <row r="386" spans="1:2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t="str">
        <f t="shared" si="5"/>
        <v>Priority</v>
      </c>
      <c r="T386" s="1"/>
      <c r="U386" s="1"/>
    </row>
    <row r="387" spans="1:2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t="str">
        <f t="shared" ref="L387:L401" si="6">IF(OR(C386="mumbai", F386&gt;=15), "Priority", "Nomal")</f>
        <v>Nomal</v>
      </c>
      <c r="T387" s="1"/>
      <c r="U387" s="1"/>
    </row>
    <row r="388" spans="1:2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t="str">
        <f t="shared" si="6"/>
        <v>Nomal</v>
      </c>
      <c r="T388" s="1"/>
      <c r="U388" s="1"/>
    </row>
    <row r="389" spans="1:2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t="str">
        <f t="shared" si="6"/>
        <v>Nomal</v>
      </c>
      <c r="T389" s="1"/>
      <c r="U389" s="1"/>
    </row>
    <row r="390" spans="1:2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t="str">
        <f t="shared" si="6"/>
        <v>Nomal</v>
      </c>
      <c r="T390" s="1"/>
      <c r="U390" s="1"/>
    </row>
    <row r="391" spans="1:2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t="str">
        <f t="shared" si="6"/>
        <v>Nomal</v>
      </c>
      <c r="T391" s="1"/>
      <c r="U391" s="1"/>
    </row>
    <row r="392" spans="1:2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t="str">
        <f t="shared" si="6"/>
        <v>Nomal</v>
      </c>
      <c r="T392" s="1"/>
      <c r="U392" s="1"/>
    </row>
    <row r="393" spans="1:2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t="str">
        <f t="shared" si="6"/>
        <v>Nomal</v>
      </c>
      <c r="T393" s="1"/>
      <c r="U393" s="1"/>
    </row>
    <row r="394" spans="1:2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t="str">
        <f t="shared" si="6"/>
        <v>Nomal</v>
      </c>
      <c r="T394" s="1"/>
      <c r="U394" s="1"/>
    </row>
    <row r="395" spans="1:2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t="str">
        <f t="shared" si="6"/>
        <v>Priority</v>
      </c>
      <c r="T395" s="1"/>
      <c r="U395" s="1"/>
    </row>
    <row r="396" spans="1:2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t="str">
        <f t="shared" si="6"/>
        <v>Nomal</v>
      </c>
      <c r="T396" s="1"/>
      <c r="U396" s="1"/>
    </row>
    <row r="397" spans="1:2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t="str">
        <f t="shared" si="6"/>
        <v>Priority</v>
      </c>
      <c r="T397" s="1"/>
      <c r="U397" s="1"/>
    </row>
    <row r="398" spans="1:2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t="str">
        <f t="shared" si="6"/>
        <v>Priority</v>
      </c>
      <c r="T398" s="1"/>
      <c r="U398" s="1"/>
    </row>
    <row r="399" spans="1:2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t="str">
        <f t="shared" si="6"/>
        <v>Nomal</v>
      </c>
      <c r="T399" s="1"/>
      <c r="U399" s="1"/>
    </row>
    <row r="400" spans="1:2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t="str">
        <f t="shared" si="6"/>
        <v>Nomal</v>
      </c>
      <c r="T400" s="1"/>
      <c r="U400" s="1"/>
    </row>
    <row r="401" spans="1:2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t="str">
        <f t="shared" si="6"/>
        <v>Priority</v>
      </c>
      <c r="T401" s="1"/>
      <c r="U40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3F4B-2997-44E0-B667-BFE52B0DF859}">
  <dimension ref="A1:M401"/>
  <sheetViews>
    <sheetView workbookViewId="0">
      <selection activeCell="M2" sqref="M2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2.6640625" customWidth="1"/>
    <col min="13" max="14" width="13.77734375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70</v>
      </c>
      <c r="M1" s="8" t="s">
        <v>71</v>
      </c>
    </row>
    <row r="2" spans="1:13" x14ac:dyDescent="0.3">
      <c r="A2" s="8">
        <v>1001</v>
      </c>
      <c r="B2" s="8" t="s">
        <v>11</v>
      </c>
      <c r="C2" s="8" t="s">
        <v>12</v>
      </c>
      <c r="D2" s="8" t="s">
        <v>13</v>
      </c>
      <c r="E2" s="8" t="s">
        <v>14</v>
      </c>
      <c r="F2" s="8">
        <v>3</v>
      </c>
      <c r="G2" s="8">
        <v>222</v>
      </c>
      <c r="H2" s="8">
        <v>15</v>
      </c>
      <c r="I2" s="9">
        <v>46081</v>
      </c>
      <c r="J2" s="9">
        <v>46083</v>
      </c>
      <c r="K2" s="8" t="s">
        <v>15</v>
      </c>
      <c r="L2">
        <f>F2*G2*(1-H2/100)</f>
        <v>566.1</v>
      </c>
      <c r="M2" t="str">
        <f>IF(L1&lt;=100000, "Excellent", IF(L1&lt;=50000, "Very Good", IF(L1&lt;=20000, "Good", "Average")))</f>
        <v>Average</v>
      </c>
    </row>
    <row r="3" spans="1:13" x14ac:dyDescent="0.3">
      <c r="A3" s="8">
        <v>1002</v>
      </c>
      <c r="B3" s="8" t="s">
        <v>16</v>
      </c>
      <c r="C3" s="8" t="s">
        <v>17</v>
      </c>
      <c r="D3" s="8" t="s">
        <v>18</v>
      </c>
      <c r="E3" s="8" t="s">
        <v>19</v>
      </c>
      <c r="F3" s="8">
        <v>7</v>
      </c>
      <c r="G3" s="8">
        <v>8448</v>
      </c>
      <c r="H3" s="8">
        <v>12</v>
      </c>
      <c r="I3" s="9">
        <v>46174</v>
      </c>
      <c r="J3" s="9">
        <v>46179</v>
      </c>
      <c r="K3" s="8" t="s">
        <v>20</v>
      </c>
      <c r="L3">
        <f t="shared" ref="L3:L66" si="0">F3*G3*(1-H3/100)</f>
        <v>52039.68</v>
      </c>
      <c r="M3" t="str">
        <f t="shared" ref="M3:M66" si="1">IF(L2&lt;=100000, "Excellent", IF(L2&lt;=50000, "Very Good", IF(L2&lt;=20000, "Good", "Average")))</f>
        <v>Excellent</v>
      </c>
    </row>
    <row r="4" spans="1:13" x14ac:dyDescent="0.3">
      <c r="A4" s="8">
        <v>1003</v>
      </c>
      <c r="B4" s="8" t="s">
        <v>21</v>
      </c>
      <c r="C4" s="8" t="s">
        <v>22</v>
      </c>
      <c r="D4" s="8" t="s">
        <v>18</v>
      </c>
      <c r="E4" s="8" t="s">
        <v>23</v>
      </c>
      <c r="F4" s="8">
        <v>20</v>
      </c>
      <c r="G4" s="8">
        <v>2123</v>
      </c>
      <c r="H4" s="8">
        <v>15</v>
      </c>
      <c r="I4" s="9">
        <v>46183</v>
      </c>
      <c r="J4" s="9">
        <v>46192</v>
      </c>
      <c r="K4" s="8" t="s">
        <v>24</v>
      </c>
      <c r="L4">
        <f t="shared" si="0"/>
        <v>36091</v>
      </c>
      <c r="M4" t="str">
        <f t="shared" si="1"/>
        <v>Excellent</v>
      </c>
    </row>
    <row r="5" spans="1:13" x14ac:dyDescent="0.3">
      <c r="A5" s="8">
        <v>1004</v>
      </c>
      <c r="B5" s="8" t="s">
        <v>16</v>
      </c>
      <c r="C5" s="8" t="s">
        <v>25</v>
      </c>
      <c r="D5" s="8" t="s">
        <v>18</v>
      </c>
      <c r="E5" s="8" t="s">
        <v>23</v>
      </c>
      <c r="F5" s="8">
        <v>16</v>
      </c>
      <c r="G5" s="8">
        <v>11739</v>
      </c>
      <c r="H5" s="8">
        <v>12</v>
      </c>
      <c r="I5" s="9">
        <v>46034</v>
      </c>
      <c r="J5" s="9">
        <v>46040</v>
      </c>
      <c r="K5" s="8" t="s">
        <v>20</v>
      </c>
      <c r="L5">
        <f t="shared" si="0"/>
        <v>165285.12</v>
      </c>
      <c r="M5" t="str">
        <f t="shared" si="1"/>
        <v>Excellent</v>
      </c>
    </row>
    <row r="6" spans="1:13" x14ac:dyDescent="0.3">
      <c r="A6" s="8">
        <v>1005</v>
      </c>
      <c r="B6" s="8" t="s">
        <v>26</v>
      </c>
      <c r="C6" s="8" t="s">
        <v>17</v>
      </c>
      <c r="D6" s="8" t="s">
        <v>13</v>
      </c>
      <c r="E6" s="8" t="s">
        <v>14</v>
      </c>
      <c r="F6" s="8">
        <v>18</v>
      </c>
      <c r="G6" s="8">
        <v>70</v>
      </c>
      <c r="H6" s="8">
        <v>0</v>
      </c>
      <c r="I6" s="9">
        <v>46171</v>
      </c>
      <c r="J6" s="9">
        <v>46179</v>
      </c>
      <c r="K6" s="8" t="s">
        <v>24</v>
      </c>
      <c r="L6">
        <f t="shared" si="0"/>
        <v>1260</v>
      </c>
      <c r="M6" t="str">
        <f t="shared" si="1"/>
        <v>Average</v>
      </c>
    </row>
    <row r="7" spans="1:13" x14ac:dyDescent="0.3">
      <c r="A7" s="8">
        <v>1006</v>
      </c>
      <c r="B7" s="8" t="s">
        <v>27</v>
      </c>
      <c r="C7" s="8" t="s">
        <v>25</v>
      </c>
      <c r="D7" s="8" t="s">
        <v>18</v>
      </c>
      <c r="E7" s="8" t="s">
        <v>28</v>
      </c>
      <c r="F7" s="8">
        <v>3</v>
      </c>
      <c r="G7" s="8">
        <v>2714</v>
      </c>
      <c r="H7" s="8">
        <v>5</v>
      </c>
      <c r="I7" s="9">
        <v>46055</v>
      </c>
      <c r="J7" s="9">
        <v>46062</v>
      </c>
      <c r="K7" s="8" t="s">
        <v>29</v>
      </c>
      <c r="L7">
        <f t="shared" si="0"/>
        <v>7734.9</v>
      </c>
      <c r="M7" t="str">
        <f t="shared" si="1"/>
        <v>Excellent</v>
      </c>
    </row>
    <row r="8" spans="1:13" x14ac:dyDescent="0.3">
      <c r="A8" s="8">
        <v>1007</v>
      </c>
      <c r="B8" s="8" t="s">
        <v>21</v>
      </c>
      <c r="C8" s="8" t="s">
        <v>22</v>
      </c>
      <c r="D8" s="8" t="s">
        <v>13</v>
      </c>
      <c r="E8" s="8" t="s">
        <v>14</v>
      </c>
      <c r="F8" s="8">
        <v>19</v>
      </c>
      <c r="G8" s="8">
        <v>149</v>
      </c>
      <c r="H8" s="8">
        <v>7</v>
      </c>
      <c r="I8" s="9">
        <v>46162</v>
      </c>
      <c r="J8" s="9">
        <v>46168</v>
      </c>
      <c r="K8" s="8" t="s">
        <v>24</v>
      </c>
      <c r="L8">
        <f t="shared" si="0"/>
        <v>2632.83</v>
      </c>
      <c r="M8" t="str">
        <f t="shared" si="1"/>
        <v>Excellent</v>
      </c>
    </row>
    <row r="9" spans="1:13" x14ac:dyDescent="0.3">
      <c r="A9" s="8">
        <v>1008</v>
      </c>
      <c r="B9" s="8" t="s">
        <v>30</v>
      </c>
      <c r="C9" s="8" t="s">
        <v>31</v>
      </c>
      <c r="D9" s="8" t="s">
        <v>18</v>
      </c>
      <c r="E9" s="8" t="s">
        <v>28</v>
      </c>
      <c r="F9" s="8">
        <v>1</v>
      </c>
      <c r="G9" s="8">
        <v>1134</v>
      </c>
      <c r="H9" s="8">
        <v>0</v>
      </c>
      <c r="I9" s="9">
        <v>46033</v>
      </c>
      <c r="J9" s="9">
        <v>46041</v>
      </c>
      <c r="K9" s="8" t="s">
        <v>24</v>
      </c>
      <c r="L9">
        <f t="shared" si="0"/>
        <v>1134</v>
      </c>
      <c r="M9" t="str">
        <f t="shared" si="1"/>
        <v>Excellent</v>
      </c>
    </row>
    <row r="10" spans="1:13" x14ac:dyDescent="0.3">
      <c r="A10" s="8">
        <v>1009</v>
      </c>
      <c r="B10" s="8" t="s">
        <v>32</v>
      </c>
      <c r="C10" s="8" t="s">
        <v>33</v>
      </c>
      <c r="D10" s="8" t="s">
        <v>34</v>
      </c>
      <c r="E10" s="8" t="s">
        <v>35</v>
      </c>
      <c r="F10" s="8">
        <v>10</v>
      </c>
      <c r="G10" s="8">
        <v>40671</v>
      </c>
      <c r="H10" s="8">
        <v>12</v>
      </c>
      <c r="I10" s="9">
        <v>46183</v>
      </c>
      <c r="J10" s="9">
        <v>46193</v>
      </c>
      <c r="K10" s="8" t="s">
        <v>24</v>
      </c>
      <c r="L10">
        <f t="shared" si="0"/>
        <v>357904.8</v>
      </c>
      <c r="M10" t="str">
        <f t="shared" si="1"/>
        <v>Excellent</v>
      </c>
    </row>
    <row r="11" spans="1:13" x14ac:dyDescent="0.3">
      <c r="A11" s="8">
        <v>1010</v>
      </c>
      <c r="B11" s="8" t="s">
        <v>11</v>
      </c>
      <c r="C11" s="8" t="s">
        <v>17</v>
      </c>
      <c r="D11" s="8" t="s">
        <v>13</v>
      </c>
      <c r="E11" s="8" t="s">
        <v>36</v>
      </c>
      <c r="F11" s="8">
        <v>14</v>
      </c>
      <c r="G11" s="8">
        <v>470</v>
      </c>
      <c r="H11" s="8">
        <v>5</v>
      </c>
      <c r="I11" s="9">
        <v>46062</v>
      </c>
      <c r="J11" s="9">
        <v>46068</v>
      </c>
      <c r="K11" s="8" t="s">
        <v>15</v>
      </c>
      <c r="L11">
        <f t="shared" si="0"/>
        <v>6251</v>
      </c>
      <c r="M11" t="str">
        <f t="shared" si="1"/>
        <v>Average</v>
      </c>
    </row>
    <row r="12" spans="1:13" x14ac:dyDescent="0.3">
      <c r="A12" s="8">
        <v>1011</v>
      </c>
      <c r="B12" s="8" t="s">
        <v>11</v>
      </c>
      <c r="C12" s="8" t="s">
        <v>17</v>
      </c>
      <c r="D12" s="8" t="s">
        <v>13</v>
      </c>
      <c r="E12" s="8" t="s">
        <v>37</v>
      </c>
      <c r="F12" s="8">
        <v>14</v>
      </c>
      <c r="G12" s="8">
        <v>88</v>
      </c>
      <c r="H12" s="8">
        <v>12</v>
      </c>
      <c r="I12" s="9">
        <v>46161</v>
      </c>
      <c r="J12" s="9">
        <v>46163</v>
      </c>
      <c r="K12" s="8" t="s">
        <v>15</v>
      </c>
      <c r="L12">
        <f t="shared" si="0"/>
        <v>1084.1600000000001</v>
      </c>
      <c r="M12" t="str">
        <f t="shared" si="1"/>
        <v>Excellent</v>
      </c>
    </row>
    <row r="13" spans="1:13" x14ac:dyDescent="0.3">
      <c r="A13" s="8">
        <v>1012</v>
      </c>
      <c r="B13" s="8" t="s">
        <v>26</v>
      </c>
      <c r="C13" s="8" t="s">
        <v>38</v>
      </c>
      <c r="D13" s="8" t="s">
        <v>34</v>
      </c>
      <c r="E13" s="8" t="s">
        <v>39</v>
      </c>
      <c r="F13" s="8">
        <v>3</v>
      </c>
      <c r="G13" s="8">
        <v>64615</v>
      </c>
      <c r="H13" s="8">
        <v>10</v>
      </c>
      <c r="I13" s="9">
        <v>46086</v>
      </c>
      <c r="J13" s="9">
        <v>46095</v>
      </c>
      <c r="K13" s="8" t="s">
        <v>29</v>
      </c>
      <c r="L13">
        <f t="shared" si="0"/>
        <v>174460.5</v>
      </c>
      <c r="M13" t="str">
        <f t="shared" si="1"/>
        <v>Excellent</v>
      </c>
    </row>
    <row r="14" spans="1:13" x14ac:dyDescent="0.3">
      <c r="A14" s="8">
        <v>1013</v>
      </c>
      <c r="B14" s="8" t="s">
        <v>16</v>
      </c>
      <c r="C14" s="8" t="s">
        <v>31</v>
      </c>
      <c r="D14" s="8" t="s">
        <v>13</v>
      </c>
      <c r="E14" s="8" t="s">
        <v>36</v>
      </c>
      <c r="F14" s="8">
        <v>17</v>
      </c>
      <c r="G14" s="8">
        <v>459</v>
      </c>
      <c r="H14" s="8">
        <v>12</v>
      </c>
      <c r="I14" s="9">
        <v>46095</v>
      </c>
      <c r="J14" s="9">
        <v>46105</v>
      </c>
      <c r="K14" s="8" t="s">
        <v>29</v>
      </c>
      <c r="L14">
        <f t="shared" si="0"/>
        <v>6866.64</v>
      </c>
      <c r="M14" t="str">
        <f t="shared" si="1"/>
        <v>Average</v>
      </c>
    </row>
    <row r="15" spans="1:13" x14ac:dyDescent="0.3">
      <c r="A15" s="8">
        <v>1014</v>
      </c>
      <c r="B15" s="8" t="s">
        <v>40</v>
      </c>
      <c r="C15" s="8" t="s">
        <v>17</v>
      </c>
      <c r="D15" s="8" t="s">
        <v>34</v>
      </c>
      <c r="E15" s="8" t="s">
        <v>41</v>
      </c>
      <c r="F15" s="8">
        <v>19</v>
      </c>
      <c r="G15" s="8">
        <v>53683</v>
      </c>
      <c r="H15" s="8">
        <v>12</v>
      </c>
      <c r="I15" s="9">
        <v>46129</v>
      </c>
      <c r="J15" s="9">
        <v>46134</v>
      </c>
      <c r="K15" s="8" t="s">
        <v>29</v>
      </c>
      <c r="L15">
        <f t="shared" si="0"/>
        <v>897579.76</v>
      </c>
      <c r="M15" t="str">
        <f t="shared" si="1"/>
        <v>Excellent</v>
      </c>
    </row>
    <row r="16" spans="1:13" x14ac:dyDescent="0.3">
      <c r="A16" s="8">
        <v>1015</v>
      </c>
      <c r="B16" s="8" t="s">
        <v>42</v>
      </c>
      <c r="C16" s="8" t="s">
        <v>43</v>
      </c>
      <c r="D16" s="8" t="s">
        <v>18</v>
      </c>
      <c r="E16" s="8" t="s">
        <v>44</v>
      </c>
      <c r="F16" s="8">
        <v>11</v>
      </c>
      <c r="G16" s="8">
        <v>14511</v>
      </c>
      <c r="H16" s="8">
        <v>2</v>
      </c>
      <c r="I16" s="9">
        <v>46175</v>
      </c>
      <c r="J16" s="9">
        <v>46185</v>
      </c>
      <c r="K16" s="8" t="s">
        <v>20</v>
      </c>
      <c r="L16">
        <f t="shared" si="0"/>
        <v>156428.57999999999</v>
      </c>
      <c r="M16" t="str">
        <f t="shared" si="1"/>
        <v>Average</v>
      </c>
    </row>
    <row r="17" spans="1:13" x14ac:dyDescent="0.3">
      <c r="A17" s="8">
        <v>1016</v>
      </c>
      <c r="B17" s="8" t="s">
        <v>32</v>
      </c>
      <c r="C17" s="8" t="s">
        <v>33</v>
      </c>
      <c r="D17" s="8" t="s">
        <v>34</v>
      </c>
      <c r="E17" s="8" t="s">
        <v>45</v>
      </c>
      <c r="F17" s="8">
        <v>16</v>
      </c>
      <c r="G17" s="8">
        <v>30234</v>
      </c>
      <c r="H17" s="8">
        <v>15</v>
      </c>
      <c r="I17" s="9">
        <v>46137</v>
      </c>
      <c r="J17" s="9">
        <v>46140</v>
      </c>
      <c r="K17" s="8" t="s">
        <v>24</v>
      </c>
      <c r="L17">
        <f t="shared" si="0"/>
        <v>411182.39999999997</v>
      </c>
      <c r="M17" t="str">
        <f t="shared" si="1"/>
        <v>Average</v>
      </c>
    </row>
    <row r="18" spans="1:13" x14ac:dyDescent="0.3">
      <c r="A18" s="8">
        <v>1017</v>
      </c>
      <c r="B18" s="8" t="s">
        <v>46</v>
      </c>
      <c r="C18" s="8" t="s">
        <v>38</v>
      </c>
      <c r="D18" s="8" t="s">
        <v>13</v>
      </c>
      <c r="E18" s="8" t="s">
        <v>36</v>
      </c>
      <c r="F18" s="8">
        <v>8</v>
      </c>
      <c r="G18" s="8">
        <v>179</v>
      </c>
      <c r="H18" s="8">
        <v>15</v>
      </c>
      <c r="I18" s="9">
        <v>46082</v>
      </c>
      <c r="J18" s="9">
        <v>46084</v>
      </c>
      <c r="K18" s="8" t="s">
        <v>15</v>
      </c>
      <c r="L18">
        <f t="shared" si="0"/>
        <v>1217.2</v>
      </c>
      <c r="M18" t="str">
        <f t="shared" si="1"/>
        <v>Average</v>
      </c>
    </row>
    <row r="19" spans="1:13" x14ac:dyDescent="0.3">
      <c r="A19" s="8">
        <v>1018</v>
      </c>
      <c r="B19" s="8" t="s">
        <v>47</v>
      </c>
      <c r="C19" s="8" t="s">
        <v>25</v>
      </c>
      <c r="D19" s="8" t="s">
        <v>13</v>
      </c>
      <c r="E19" s="8" t="s">
        <v>14</v>
      </c>
      <c r="F19" s="8">
        <v>20</v>
      </c>
      <c r="G19" s="8">
        <v>301</v>
      </c>
      <c r="H19" s="8">
        <v>0</v>
      </c>
      <c r="I19" s="9">
        <v>46089</v>
      </c>
      <c r="J19" s="9">
        <v>46094</v>
      </c>
      <c r="K19" s="8" t="s">
        <v>29</v>
      </c>
      <c r="L19">
        <f t="shared" si="0"/>
        <v>6020</v>
      </c>
      <c r="M19" t="str">
        <f t="shared" si="1"/>
        <v>Excellent</v>
      </c>
    </row>
    <row r="20" spans="1:13" x14ac:dyDescent="0.3">
      <c r="A20" s="8">
        <v>1019</v>
      </c>
      <c r="B20" s="8" t="s">
        <v>11</v>
      </c>
      <c r="C20" s="8" t="s">
        <v>43</v>
      </c>
      <c r="D20" s="8" t="s">
        <v>34</v>
      </c>
      <c r="E20" s="8" t="s">
        <v>41</v>
      </c>
      <c r="F20" s="8">
        <v>18</v>
      </c>
      <c r="G20" s="8">
        <v>45652</v>
      </c>
      <c r="H20" s="8">
        <v>10</v>
      </c>
      <c r="I20" s="9">
        <v>46023</v>
      </c>
      <c r="J20" s="9">
        <v>46030</v>
      </c>
      <c r="K20" s="8" t="s">
        <v>20</v>
      </c>
      <c r="L20">
        <f t="shared" si="0"/>
        <v>739562.4</v>
      </c>
      <c r="M20" t="str">
        <f t="shared" si="1"/>
        <v>Excellent</v>
      </c>
    </row>
    <row r="21" spans="1:13" x14ac:dyDescent="0.3">
      <c r="A21" s="8">
        <v>1020</v>
      </c>
      <c r="B21" s="8" t="s">
        <v>46</v>
      </c>
      <c r="C21" s="8" t="s">
        <v>12</v>
      </c>
      <c r="D21" s="8" t="s">
        <v>18</v>
      </c>
      <c r="E21" s="8" t="s">
        <v>19</v>
      </c>
      <c r="F21" s="8">
        <v>5</v>
      </c>
      <c r="G21" s="8">
        <v>4582</v>
      </c>
      <c r="H21" s="8">
        <v>5</v>
      </c>
      <c r="I21" s="9">
        <v>46078</v>
      </c>
      <c r="J21" s="9">
        <v>46083</v>
      </c>
      <c r="K21" s="8" t="s">
        <v>15</v>
      </c>
      <c r="L21">
        <f t="shared" si="0"/>
        <v>21764.5</v>
      </c>
      <c r="M21" t="str">
        <f t="shared" si="1"/>
        <v>Average</v>
      </c>
    </row>
    <row r="22" spans="1:13" x14ac:dyDescent="0.3">
      <c r="A22" s="8">
        <v>1021</v>
      </c>
      <c r="B22" s="8" t="s">
        <v>48</v>
      </c>
      <c r="C22" s="8" t="s">
        <v>43</v>
      </c>
      <c r="D22" s="8" t="s">
        <v>13</v>
      </c>
      <c r="E22" s="8" t="s">
        <v>14</v>
      </c>
      <c r="F22" s="8">
        <v>3</v>
      </c>
      <c r="G22" s="8">
        <v>484</v>
      </c>
      <c r="H22" s="8">
        <v>2</v>
      </c>
      <c r="I22" s="9">
        <v>46144</v>
      </c>
      <c r="J22" s="9">
        <v>46148</v>
      </c>
      <c r="K22" s="8" t="s">
        <v>24</v>
      </c>
      <c r="L22">
        <f t="shared" si="0"/>
        <v>1422.96</v>
      </c>
      <c r="M22" t="str">
        <f t="shared" si="1"/>
        <v>Excellent</v>
      </c>
    </row>
    <row r="23" spans="1:13" x14ac:dyDescent="0.3">
      <c r="A23" s="8">
        <v>1022</v>
      </c>
      <c r="B23" s="8" t="s">
        <v>26</v>
      </c>
      <c r="C23" s="8" t="s">
        <v>17</v>
      </c>
      <c r="D23" s="8" t="s">
        <v>34</v>
      </c>
      <c r="E23" s="8" t="s">
        <v>45</v>
      </c>
      <c r="F23" s="8">
        <v>15</v>
      </c>
      <c r="G23" s="8">
        <v>11596</v>
      </c>
      <c r="H23" s="8">
        <v>0</v>
      </c>
      <c r="I23" s="9">
        <v>46117</v>
      </c>
      <c r="J23" s="9">
        <v>46121</v>
      </c>
      <c r="K23" s="8" t="s">
        <v>29</v>
      </c>
      <c r="L23">
        <f t="shared" si="0"/>
        <v>173940</v>
      </c>
      <c r="M23" t="str">
        <f t="shared" si="1"/>
        <v>Excellent</v>
      </c>
    </row>
    <row r="24" spans="1:13" x14ac:dyDescent="0.3">
      <c r="A24" s="8">
        <v>1023</v>
      </c>
      <c r="B24" s="8" t="s">
        <v>40</v>
      </c>
      <c r="C24" s="8" t="s">
        <v>12</v>
      </c>
      <c r="D24" s="8" t="s">
        <v>18</v>
      </c>
      <c r="E24" s="8" t="s">
        <v>44</v>
      </c>
      <c r="F24" s="8">
        <v>15</v>
      </c>
      <c r="G24" s="8">
        <v>3506</v>
      </c>
      <c r="H24" s="8">
        <v>2</v>
      </c>
      <c r="I24" s="9">
        <v>46193</v>
      </c>
      <c r="J24" s="9">
        <v>46194</v>
      </c>
      <c r="K24" s="8" t="s">
        <v>29</v>
      </c>
      <c r="L24">
        <f t="shared" si="0"/>
        <v>51538.2</v>
      </c>
      <c r="M24" t="str">
        <f t="shared" si="1"/>
        <v>Average</v>
      </c>
    </row>
    <row r="25" spans="1:13" x14ac:dyDescent="0.3">
      <c r="A25" s="8">
        <v>1024</v>
      </c>
      <c r="B25" s="8" t="s">
        <v>32</v>
      </c>
      <c r="C25" s="8" t="s">
        <v>38</v>
      </c>
      <c r="D25" s="8" t="s">
        <v>34</v>
      </c>
      <c r="E25" s="8" t="s">
        <v>41</v>
      </c>
      <c r="F25" s="8">
        <v>12</v>
      </c>
      <c r="G25" s="8">
        <v>1682</v>
      </c>
      <c r="H25" s="8">
        <v>5</v>
      </c>
      <c r="I25" s="9">
        <v>46161</v>
      </c>
      <c r="J25" s="9">
        <v>46165</v>
      </c>
      <c r="K25" s="8" t="s">
        <v>15</v>
      </c>
      <c r="L25">
        <f t="shared" si="0"/>
        <v>19174.8</v>
      </c>
      <c r="M25" t="str">
        <f t="shared" si="1"/>
        <v>Excellent</v>
      </c>
    </row>
    <row r="26" spans="1:13" x14ac:dyDescent="0.3">
      <c r="A26" s="8">
        <v>1025</v>
      </c>
      <c r="B26" s="8" t="s">
        <v>21</v>
      </c>
      <c r="C26" s="8" t="s">
        <v>12</v>
      </c>
      <c r="D26" s="8" t="s">
        <v>18</v>
      </c>
      <c r="E26" s="8" t="s">
        <v>19</v>
      </c>
      <c r="F26" s="8">
        <v>18</v>
      </c>
      <c r="G26" s="8">
        <v>7924</v>
      </c>
      <c r="H26" s="8">
        <v>0</v>
      </c>
      <c r="I26" s="9">
        <v>46175</v>
      </c>
      <c r="J26" s="9">
        <v>46181</v>
      </c>
      <c r="K26" s="8" t="s">
        <v>15</v>
      </c>
      <c r="L26">
        <f t="shared" si="0"/>
        <v>142632</v>
      </c>
      <c r="M26" t="str">
        <f t="shared" si="1"/>
        <v>Excellent</v>
      </c>
    </row>
    <row r="27" spans="1:13" x14ac:dyDescent="0.3">
      <c r="A27" s="8">
        <v>1026</v>
      </c>
      <c r="B27" s="8" t="s">
        <v>49</v>
      </c>
      <c r="C27" s="8" t="s">
        <v>31</v>
      </c>
      <c r="D27" s="8" t="s">
        <v>13</v>
      </c>
      <c r="E27" s="8" t="s">
        <v>50</v>
      </c>
      <c r="F27" s="8">
        <v>17</v>
      </c>
      <c r="G27" s="8">
        <v>323</v>
      </c>
      <c r="H27" s="8">
        <v>10</v>
      </c>
      <c r="I27" s="9">
        <v>46039</v>
      </c>
      <c r="J27" s="9">
        <v>46040</v>
      </c>
      <c r="K27" s="8" t="s">
        <v>29</v>
      </c>
      <c r="L27">
        <f t="shared" si="0"/>
        <v>4941.9000000000005</v>
      </c>
      <c r="M27" t="str">
        <f t="shared" si="1"/>
        <v>Average</v>
      </c>
    </row>
    <row r="28" spans="1:13" x14ac:dyDescent="0.3">
      <c r="A28" s="8">
        <v>1027</v>
      </c>
      <c r="B28" s="8" t="s">
        <v>29</v>
      </c>
      <c r="C28" s="8" t="s">
        <v>43</v>
      </c>
      <c r="D28" s="8" t="s">
        <v>13</v>
      </c>
      <c r="E28" s="8" t="s">
        <v>50</v>
      </c>
      <c r="F28" s="8">
        <v>4</v>
      </c>
      <c r="G28" s="8">
        <v>264</v>
      </c>
      <c r="H28" s="8">
        <v>0</v>
      </c>
      <c r="I28" s="9">
        <v>46155</v>
      </c>
      <c r="J28" s="9">
        <v>46161</v>
      </c>
      <c r="K28" s="8" t="s">
        <v>51</v>
      </c>
      <c r="L28">
        <f t="shared" si="0"/>
        <v>1056</v>
      </c>
      <c r="M28" t="str">
        <f t="shared" si="1"/>
        <v>Excellent</v>
      </c>
    </row>
    <row r="29" spans="1:13" x14ac:dyDescent="0.3">
      <c r="A29" s="8">
        <v>1028</v>
      </c>
      <c r="B29" s="8" t="s">
        <v>47</v>
      </c>
      <c r="C29" s="8" t="s">
        <v>22</v>
      </c>
      <c r="D29" s="8" t="s">
        <v>13</v>
      </c>
      <c r="E29" s="8" t="s">
        <v>36</v>
      </c>
      <c r="F29" s="8">
        <v>13</v>
      </c>
      <c r="G29" s="8">
        <v>433</v>
      </c>
      <c r="H29" s="8">
        <v>2</v>
      </c>
      <c r="I29" s="9">
        <v>46116</v>
      </c>
      <c r="J29" s="9">
        <v>46121</v>
      </c>
      <c r="K29" s="8" t="s">
        <v>24</v>
      </c>
      <c r="L29">
        <f t="shared" si="0"/>
        <v>5516.42</v>
      </c>
      <c r="M29" t="str">
        <f t="shared" si="1"/>
        <v>Excellent</v>
      </c>
    </row>
    <row r="30" spans="1:13" x14ac:dyDescent="0.3">
      <c r="A30" s="8">
        <v>1029</v>
      </c>
      <c r="B30" s="8" t="s">
        <v>30</v>
      </c>
      <c r="C30" s="8" t="s">
        <v>25</v>
      </c>
      <c r="D30" s="8" t="s">
        <v>13</v>
      </c>
      <c r="E30" s="8" t="s">
        <v>36</v>
      </c>
      <c r="F30" s="8">
        <v>18</v>
      </c>
      <c r="G30" s="8">
        <v>443</v>
      </c>
      <c r="H30" s="8">
        <v>5</v>
      </c>
      <c r="I30" s="9">
        <v>46046</v>
      </c>
      <c r="J30" s="9">
        <v>46054</v>
      </c>
      <c r="K30" s="8" t="s">
        <v>24</v>
      </c>
      <c r="L30">
        <f t="shared" si="0"/>
        <v>7575.2999999999993</v>
      </c>
      <c r="M30" t="str">
        <f t="shared" si="1"/>
        <v>Excellent</v>
      </c>
    </row>
    <row r="31" spans="1:13" x14ac:dyDescent="0.3">
      <c r="A31" s="8">
        <v>1030</v>
      </c>
      <c r="B31" s="8" t="s">
        <v>52</v>
      </c>
      <c r="C31" s="8" t="s">
        <v>12</v>
      </c>
      <c r="D31" s="8" t="s">
        <v>13</v>
      </c>
      <c r="E31" s="8" t="s">
        <v>53</v>
      </c>
      <c r="F31" s="8">
        <v>13</v>
      </c>
      <c r="G31" s="8">
        <v>336</v>
      </c>
      <c r="H31" s="8">
        <v>10</v>
      </c>
      <c r="I31" s="9">
        <v>46098</v>
      </c>
      <c r="J31" s="9">
        <v>46108</v>
      </c>
      <c r="K31" s="8" t="s">
        <v>15</v>
      </c>
      <c r="L31">
        <f t="shared" si="0"/>
        <v>3931.2000000000003</v>
      </c>
      <c r="M31" t="str">
        <f t="shared" si="1"/>
        <v>Excellent</v>
      </c>
    </row>
    <row r="32" spans="1:13" x14ac:dyDescent="0.3">
      <c r="A32" s="8">
        <v>1031</v>
      </c>
      <c r="B32" s="8" t="s">
        <v>54</v>
      </c>
      <c r="C32" s="8" t="s">
        <v>31</v>
      </c>
      <c r="D32" s="8" t="s">
        <v>13</v>
      </c>
      <c r="E32" s="8" t="s">
        <v>53</v>
      </c>
      <c r="F32" s="8">
        <v>2</v>
      </c>
      <c r="G32" s="8">
        <v>184</v>
      </c>
      <c r="H32" s="8">
        <v>5</v>
      </c>
      <c r="I32" s="9">
        <v>46089</v>
      </c>
      <c r="J32" s="9">
        <v>46093</v>
      </c>
      <c r="K32" s="8" t="s">
        <v>20</v>
      </c>
      <c r="L32">
        <f t="shared" si="0"/>
        <v>349.59999999999997</v>
      </c>
      <c r="M32" t="str">
        <f t="shared" si="1"/>
        <v>Excellent</v>
      </c>
    </row>
    <row r="33" spans="1:13" x14ac:dyDescent="0.3">
      <c r="A33" s="8">
        <v>1032</v>
      </c>
      <c r="B33" s="8" t="s">
        <v>54</v>
      </c>
      <c r="C33" s="8" t="s">
        <v>43</v>
      </c>
      <c r="D33" s="8" t="s">
        <v>34</v>
      </c>
      <c r="E33" s="8" t="s">
        <v>39</v>
      </c>
      <c r="F33" s="8">
        <v>20</v>
      </c>
      <c r="G33" s="8">
        <v>11305</v>
      </c>
      <c r="H33" s="8">
        <v>2</v>
      </c>
      <c r="I33" s="9">
        <v>46163</v>
      </c>
      <c r="J33" s="9">
        <v>46165</v>
      </c>
      <c r="K33" s="8" t="s">
        <v>29</v>
      </c>
      <c r="L33">
        <f t="shared" si="0"/>
        <v>221578</v>
      </c>
      <c r="M33" t="str">
        <f t="shared" si="1"/>
        <v>Excellent</v>
      </c>
    </row>
    <row r="34" spans="1:13" x14ac:dyDescent="0.3">
      <c r="A34" s="8">
        <v>1033</v>
      </c>
      <c r="B34" s="8" t="s">
        <v>11</v>
      </c>
      <c r="C34" s="8" t="s">
        <v>43</v>
      </c>
      <c r="D34" s="8" t="s">
        <v>18</v>
      </c>
      <c r="E34" s="8" t="s">
        <v>19</v>
      </c>
      <c r="F34" s="8">
        <v>9</v>
      </c>
      <c r="G34" s="8">
        <v>4895</v>
      </c>
      <c r="H34" s="8">
        <v>2</v>
      </c>
      <c r="I34" s="9">
        <v>46082</v>
      </c>
      <c r="J34" s="9">
        <v>46084</v>
      </c>
      <c r="K34" s="8" t="s">
        <v>29</v>
      </c>
      <c r="L34">
        <f t="shared" si="0"/>
        <v>43173.9</v>
      </c>
      <c r="M34" t="str">
        <f t="shared" si="1"/>
        <v>Average</v>
      </c>
    </row>
    <row r="35" spans="1:13" x14ac:dyDescent="0.3">
      <c r="A35" s="8">
        <v>1034</v>
      </c>
      <c r="B35" s="8" t="s">
        <v>55</v>
      </c>
      <c r="C35" s="8" t="s">
        <v>33</v>
      </c>
      <c r="D35" s="8" t="s">
        <v>18</v>
      </c>
      <c r="E35" s="8" t="s">
        <v>28</v>
      </c>
      <c r="F35" s="8">
        <v>17</v>
      </c>
      <c r="G35" s="8">
        <v>5104</v>
      </c>
      <c r="H35" s="8">
        <v>12</v>
      </c>
      <c r="I35" s="9">
        <v>46052</v>
      </c>
      <c r="J35" s="9">
        <v>46061</v>
      </c>
      <c r="K35" s="8" t="s">
        <v>51</v>
      </c>
      <c r="L35">
        <f t="shared" si="0"/>
        <v>76355.839999999997</v>
      </c>
      <c r="M35" t="str">
        <f t="shared" si="1"/>
        <v>Excellent</v>
      </c>
    </row>
    <row r="36" spans="1:13" x14ac:dyDescent="0.3">
      <c r="A36" s="8">
        <v>1035</v>
      </c>
      <c r="B36" s="8" t="s">
        <v>49</v>
      </c>
      <c r="C36" s="8" t="s">
        <v>43</v>
      </c>
      <c r="D36" s="8" t="s">
        <v>18</v>
      </c>
      <c r="E36" s="8" t="s">
        <v>56</v>
      </c>
      <c r="F36" s="8">
        <v>3</v>
      </c>
      <c r="G36" s="8">
        <v>9149</v>
      </c>
      <c r="H36" s="8">
        <v>0</v>
      </c>
      <c r="I36" s="9">
        <v>46031</v>
      </c>
      <c r="J36" s="9">
        <v>46034</v>
      </c>
      <c r="K36" s="8" t="s">
        <v>24</v>
      </c>
      <c r="L36">
        <f t="shared" si="0"/>
        <v>27447</v>
      </c>
      <c r="M36" t="str">
        <f t="shared" si="1"/>
        <v>Excellent</v>
      </c>
    </row>
    <row r="37" spans="1:13" x14ac:dyDescent="0.3">
      <c r="A37" s="8">
        <v>1036</v>
      </c>
      <c r="B37" s="8" t="s">
        <v>11</v>
      </c>
      <c r="C37" s="8" t="s">
        <v>25</v>
      </c>
      <c r="D37" s="8" t="s">
        <v>13</v>
      </c>
      <c r="E37" s="8" t="s">
        <v>36</v>
      </c>
      <c r="F37" s="8">
        <v>20</v>
      </c>
      <c r="G37" s="8">
        <v>161</v>
      </c>
      <c r="H37" s="8">
        <v>7</v>
      </c>
      <c r="I37" s="9">
        <v>46071</v>
      </c>
      <c r="J37" s="9">
        <v>46077</v>
      </c>
      <c r="K37" s="8" t="s">
        <v>24</v>
      </c>
      <c r="L37">
        <f t="shared" si="0"/>
        <v>2994.6</v>
      </c>
      <c r="M37" t="str">
        <f t="shared" si="1"/>
        <v>Excellent</v>
      </c>
    </row>
    <row r="38" spans="1:13" x14ac:dyDescent="0.3">
      <c r="A38" s="8">
        <v>1037</v>
      </c>
      <c r="B38" s="8" t="s">
        <v>46</v>
      </c>
      <c r="C38" s="8" t="s">
        <v>43</v>
      </c>
      <c r="D38" s="8" t="s">
        <v>18</v>
      </c>
      <c r="E38" s="8" t="s">
        <v>56</v>
      </c>
      <c r="F38" s="8">
        <v>6</v>
      </c>
      <c r="G38" s="8">
        <v>14385</v>
      </c>
      <c r="H38" s="8">
        <v>12</v>
      </c>
      <c r="I38" s="9">
        <v>46033</v>
      </c>
      <c r="J38" s="9">
        <v>46043</v>
      </c>
      <c r="K38" s="8" t="s">
        <v>24</v>
      </c>
      <c r="L38">
        <f t="shared" si="0"/>
        <v>75952.800000000003</v>
      </c>
      <c r="M38" t="str">
        <f t="shared" si="1"/>
        <v>Excellent</v>
      </c>
    </row>
    <row r="39" spans="1:13" x14ac:dyDescent="0.3">
      <c r="A39" s="8">
        <v>1038</v>
      </c>
      <c r="B39" s="8" t="s">
        <v>55</v>
      </c>
      <c r="C39" s="8" t="s">
        <v>17</v>
      </c>
      <c r="D39" s="8" t="s">
        <v>13</v>
      </c>
      <c r="E39" s="8" t="s">
        <v>36</v>
      </c>
      <c r="F39" s="8">
        <v>17</v>
      </c>
      <c r="G39" s="8">
        <v>223</v>
      </c>
      <c r="H39" s="8">
        <v>7</v>
      </c>
      <c r="I39" s="9">
        <v>46030</v>
      </c>
      <c r="J39" s="9">
        <v>46031</v>
      </c>
      <c r="K39" s="8" t="s">
        <v>51</v>
      </c>
      <c r="L39">
        <f t="shared" si="0"/>
        <v>3525.6299999999997</v>
      </c>
      <c r="M39" t="str">
        <f t="shared" si="1"/>
        <v>Excellent</v>
      </c>
    </row>
    <row r="40" spans="1:13" x14ac:dyDescent="0.3">
      <c r="A40" s="8">
        <v>1039</v>
      </c>
      <c r="B40" s="8" t="s">
        <v>48</v>
      </c>
      <c r="C40" s="8" t="s">
        <v>38</v>
      </c>
      <c r="D40" s="8" t="s">
        <v>34</v>
      </c>
      <c r="E40" s="8" t="s">
        <v>45</v>
      </c>
      <c r="F40" s="8">
        <v>5</v>
      </c>
      <c r="G40" s="8">
        <v>60236</v>
      </c>
      <c r="H40" s="8">
        <v>10</v>
      </c>
      <c r="I40" s="9">
        <v>46107</v>
      </c>
      <c r="J40" s="9">
        <v>46110</v>
      </c>
      <c r="K40" s="8" t="s">
        <v>20</v>
      </c>
      <c r="L40">
        <f t="shared" si="0"/>
        <v>271062</v>
      </c>
      <c r="M40" t="str">
        <f t="shared" si="1"/>
        <v>Excellent</v>
      </c>
    </row>
    <row r="41" spans="1:13" x14ac:dyDescent="0.3">
      <c r="A41" s="8">
        <v>1040</v>
      </c>
      <c r="B41" s="8" t="s">
        <v>49</v>
      </c>
      <c r="C41" s="8" t="s">
        <v>38</v>
      </c>
      <c r="D41" s="8" t="s">
        <v>18</v>
      </c>
      <c r="E41" s="8" t="s">
        <v>28</v>
      </c>
      <c r="F41" s="8">
        <v>10</v>
      </c>
      <c r="G41" s="8">
        <v>7531</v>
      </c>
      <c r="H41" s="8">
        <v>2</v>
      </c>
      <c r="I41" s="9">
        <v>46171</v>
      </c>
      <c r="J41" s="9">
        <v>46178</v>
      </c>
      <c r="K41" s="8" t="s">
        <v>24</v>
      </c>
      <c r="L41">
        <f t="shared" si="0"/>
        <v>73803.8</v>
      </c>
      <c r="M41" t="str">
        <f t="shared" si="1"/>
        <v>Average</v>
      </c>
    </row>
    <row r="42" spans="1:13" x14ac:dyDescent="0.3">
      <c r="A42" s="8">
        <v>1041</v>
      </c>
      <c r="B42" s="8" t="s">
        <v>54</v>
      </c>
      <c r="C42" s="8" t="s">
        <v>38</v>
      </c>
      <c r="D42" s="8" t="s">
        <v>13</v>
      </c>
      <c r="E42" s="8" t="s">
        <v>50</v>
      </c>
      <c r="F42" s="8">
        <v>9</v>
      </c>
      <c r="G42" s="8">
        <v>71</v>
      </c>
      <c r="H42" s="8">
        <v>7</v>
      </c>
      <c r="I42" s="9">
        <v>46185</v>
      </c>
      <c r="J42" s="9">
        <v>46188</v>
      </c>
      <c r="K42" s="8" t="s">
        <v>15</v>
      </c>
      <c r="L42">
        <f t="shared" si="0"/>
        <v>594.27</v>
      </c>
      <c r="M42" t="str">
        <f t="shared" si="1"/>
        <v>Excellent</v>
      </c>
    </row>
    <row r="43" spans="1:13" x14ac:dyDescent="0.3">
      <c r="A43" s="8">
        <v>1042</v>
      </c>
      <c r="B43" s="8" t="s">
        <v>46</v>
      </c>
      <c r="C43" s="8" t="s">
        <v>33</v>
      </c>
      <c r="D43" s="8" t="s">
        <v>13</v>
      </c>
      <c r="E43" s="8" t="s">
        <v>53</v>
      </c>
      <c r="F43" s="8">
        <v>16</v>
      </c>
      <c r="G43" s="8">
        <v>232</v>
      </c>
      <c r="H43" s="8">
        <v>0</v>
      </c>
      <c r="I43" s="9">
        <v>46081</v>
      </c>
      <c r="J43" s="9">
        <v>46088</v>
      </c>
      <c r="K43" s="8" t="s">
        <v>29</v>
      </c>
      <c r="L43">
        <f t="shared" si="0"/>
        <v>3712</v>
      </c>
      <c r="M43" t="str">
        <f t="shared" si="1"/>
        <v>Excellent</v>
      </c>
    </row>
    <row r="44" spans="1:13" x14ac:dyDescent="0.3">
      <c r="A44" s="8">
        <v>1043</v>
      </c>
      <c r="B44" s="8" t="s">
        <v>49</v>
      </c>
      <c r="C44" s="8" t="s">
        <v>38</v>
      </c>
      <c r="D44" s="8" t="s">
        <v>34</v>
      </c>
      <c r="E44" s="8" t="s">
        <v>35</v>
      </c>
      <c r="F44" s="8">
        <v>20</v>
      </c>
      <c r="G44" s="8">
        <v>46093</v>
      </c>
      <c r="H44" s="8">
        <v>5</v>
      </c>
      <c r="I44" s="9">
        <v>46091</v>
      </c>
      <c r="J44" s="9">
        <v>46098</v>
      </c>
      <c r="K44" s="8" t="s">
        <v>29</v>
      </c>
      <c r="L44">
        <f t="shared" si="0"/>
        <v>875767</v>
      </c>
      <c r="M44" t="str">
        <f t="shared" si="1"/>
        <v>Excellent</v>
      </c>
    </row>
    <row r="45" spans="1:13" x14ac:dyDescent="0.3">
      <c r="A45" s="8">
        <v>1044</v>
      </c>
      <c r="B45" s="8" t="s">
        <v>48</v>
      </c>
      <c r="C45" s="8" t="s">
        <v>38</v>
      </c>
      <c r="D45" s="8" t="s">
        <v>18</v>
      </c>
      <c r="E45" s="8" t="s">
        <v>19</v>
      </c>
      <c r="F45" s="8">
        <v>4</v>
      </c>
      <c r="G45" s="8">
        <v>14731</v>
      </c>
      <c r="H45" s="8">
        <v>2</v>
      </c>
      <c r="I45" s="9">
        <v>46173</v>
      </c>
      <c r="J45" s="9">
        <v>46176</v>
      </c>
      <c r="K45" s="8" t="s">
        <v>20</v>
      </c>
      <c r="L45">
        <f t="shared" si="0"/>
        <v>57745.52</v>
      </c>
      <c r="M45" t="str">
        <f t="shared" si="1"/>
        <v>Average</v>
      </c>
    </row>
    <row r="46" spans="1:13" x14ac:dyDescent="0.3">
      <c r="A46" s="8">
        <v>1045</v>
      </c>
      <c r="B46" s="8" t="s">
        <v>32</v>
      </c>
      <c r="C46" s="8" t="s">
        <v>38</v>
      </c>
      <c r="D46" s="8" t="s">
        <v>34</v>
      </c>
      <c r="E46" s="8" t="s">
        <v>35</v>
      </c>
      <c r="F46" s="8">
        <v>3</v>
      </c>
      <c r="G46" s="8">
        <v>62762</v>
      </c>
      <c r="H46" s="8">
        <v>7</v>
      </c>
      <c r="I46" s="9">
        <v>46038</v>
      </c>
      <c r="J46" s="9">
        <v>46039</v>
      </c>
      <c r="K46" s="8" t="s">
        <v>29</v>
      </c>
      <c r="L46">
        <f t="shared" si="0"/>
        <v>175105.97999999998</v>
      </c>
      <c r="M46" t="str">
        <f t="shared" si="1"/>
        <v>Excellent</v>
      </c>
    </row>
    <row r="47" spans="1:13" x14ac:dyDescent="0.3">
      <c r="A47" s="8">
        <v>1046</v>
      </c>
      <c r="B47" s="8" t="s">
        <v>57</v>
      </c>
      <c r="C47" s="8" t="s">
        <v>38</v>
      </c>
      <c r="D47" s="8" t="s">
        <v>34</v>
      </c>
      <c r="E47" s="8" t="s">
        <v>45</v>
      </c>
      <c r="F47" s="8">
        <v>3</v>
      </c>
      <c r="G47" s="8">
        <v>19443</v>
      </c>
      <c r="H47" s="8">
        <v>10</v>
      </c>
      <c r="I47" s="9">
        <v>46153</v>
      </c>
      <c r="J47" s="9">
        <v>46158</v>
      </c>
      <c r="K47" s="8" t="s">
        <v>29</v>
      </c>
      <c r="L47">
        <f t="shared" si="0"/>
        <v>52496.1</v>
      </c>
      <c r="M47" t="str">
        <f t="shared" si="1"/>
        <v>Average</v>
      </c>
    </row>
    <row r="48" spans="1:13" x14ac:dyDescent="0.3">
      <c r="A48" s="8">
        <v>1047</v>
      </c>
      <c r="B48" s="8" t="s">
        <v>58</v>
      </c>
      <c r="C48" s="8" t="s">
        <v>38</v>
      </c>
      <c r="D48" s="8" t="s">
        <v>18</v>
      </c>
      <c r="E48" s="8" t="s">
        <v>56</v>
      </c>
      <c r="F48" s="8">
        <v>11</v>
      </c>
      <c r="G48" s="8">
        <v>9976</v>
      </c>
      <c r="H48" s="8">
        <v>12</v>
      </c>
      <c r="I48" s="9">
        <v>46200</v>
      </c>
      <c r="J48" s="9">
        <v>46209</v>
      </c>
      <c r="K48" s="8" t="s">
        <v>15</v>
      </c>
      <c r="L48">
        <f t="shared" si="0"/>
        <v>96567.680000000008</v>
      </c>
      <c r="M48" t="str">
        <f t="shared" si="1"/>
        <v>Excellent</v>
      </c>
    </row>
    <row r="49" spans="1:13" x14ac:dyDescent="0.3">
      <c r="A49" s="8">
        <v>1048</v>
      </c>
      <c r="B49" s="8" t="s">
        <v>59</v>
      </c>
      <c r="C49" s="8" t="s">
        <v>25</v>
      </c>
      <c r="D49" s="8" t="s">
        <v>34</v>
      </c>
      <c r="E49" s="8" t="s">
        <v>60</v>
      </c>
      <c r="F49" s="8">
        <v>14</v>
      </c>
      <c r="G49" s="8">
        <v>11762</v>
      </c>
      <c r="H49" s="8">
        <v>7</v>
      </c>
      <c r="I49" s="9">
        <v>46180</v>
      </c>
      <c r="J49" s="9">
        <v>46186</v>
      </c>
      <c r="K49" s="8" t="s">
        <v>24</v>
      </c>
      <c r="L49">
        <f t="shared" si="0"/>
        <v>153141.24</v>
      </c>
      <c r="M49" t="str">
        <f t="shared" si="1"/>
        <v>Excellent</v>
      </c>
    </row>
    <row r="50" spans="1:13" x14ac:dyDescent="0.3">
      <c r="A50" s="8">
        <v>1049</v>
      </c>
      <c r="B50" s="8" t="s">
        <v>52</v>
      </c>
      <c r="C50" s="8" t="s">
        <v>25</v>
      </c>
      <c r="D50" s="8" t="s">
        <v>34</v>
      </c>
      <c r="E50" s="8" t="s">
        <v>45</v>
      </c>
      <c r="F50" s="8">
        <v>2</v>
      </c>
      <c r="G50" s="8">
        <v>40789</v>
      </c>
      <c r="H50" s="8">
        <v>0</v>
      </c>
      <c r="I50" s="9">
        <v>46102</v>
      </c>
      <c r="J50" s="9">
        <v>46108</v>
      </c>
      <c r="K50" s="8" t="s">
        <v>24</v>
      </c>
      <c r="L50">
        <f t="shared" si="0"/>
        <v>81578</v>
      </c>
      <c r="M50" t="str">
        <f t="shared" si="1"/>
        <v>Average</v>
      </c>
    </row>
    <row r="51" spans="1:13" x14ac:dyDescent="0.3">
      <c r="A51" s="8">
        <v>1050</v>
      </c>
      <c r="B51" s="8" t="s">
        <v>32</v>
      </c>
      <c r="C51" s="8" t="s">
        <v>25</v>
      </c>
      <c r="D51" s="8" t="s">
        <v>13</v>
      </c>
      <c r="E51" s="8" t="s">
        <v>53</v>
      </c>
      <c r="F51" s="8">
        <v>12</v>
      </c>
      <c r="G51" s="8">
        <v>360</v>
      </c>
      <c r="H51" s="8">
        <v>5</v>
      </c>
      <c r="I51" s="9">
        <v>46127</v>
      </c>
      <c r="J51" s="9">
        <v>46137</v>
      </c>
      <c r="K51" s="8" t="s">
        <v>29</v>
      </c>
      <c r="L51">
        <f t="shared" si="0"/>
        <v>4104</v>
      </c>
      <c r="M51" t="str">
        <f t="shared" si="1"/>
        <v>Excellent</v>
      </c>
    </row>
    <row r="52" spans="1:13" x14ac:dyDescent="0.3">
      <c r="A52" s="8">
        <v>1051</v>
      </c>
      <c r="B52" s="8" t="s">
        <v>58</v>
      </c>
      <c r="C52" s="8" t="s">
        <v>17</v>
      </c>
      <c r="D52" s="8" t="s">
        <v>13</v>
      </c>
      <c r="E52" s="8" t="s">
        <v>36</v>
      </c>
      <c r="F52" s="8">
        <v>12</v>
      </c>
      <c r="G52" s="8">
        <v>47</v>
      </c>
      <c r="H52" s="8">
        <v>2</v>
      </c>
      <c r="I52" s="9">
        <v>46037</v>
      </c>
      <c r="J52" s="9">
        <v>46045</v>
      </c>
      <c r="K52" s="8" t="s">
        <v>15</v>
      </c>
      <c r="L52">
        <f t="shared" si="0"/>
        <v>552.72</v>
      </c>
      <c r="M52" t="str">
        <f t="shared" si="1"/>
        <v>Excellent</v>
      </c>
    </row>
    <row r="53" spans="1:13" x14ac:dyDescent="0.3">
      <c r="A53" s="8">
        <v>1052</v>
      </c>
      <c r="B53" s="8" t="s">
        <v>55</v>
      </c>
      <c r="C53" s="8" t="s">
        <v>12</v>
      </c>
      <c r="D53" s="8" t="s">
        <v>13</v>
      </c>
      <c r="E53" s="8" t="s">
        <v>14</v>
      </c>
      <c r="F53" s="8">
        <v>17</v>
      </c>
      <c r="G53" s="8">
        <v>172</v>
      </c>
      <c r="H53" s="8">
        <v>10</v>
      </c>
      <c r="I53" s="9">
        <v>46159</v>
      </c>
      <c r="J53" s="9">
        <v>46165</v>
      </c>
      <c r="K53" s="8" t="s">
        <v>20</v>
      </c>
      <c r="L53">
        <f t="shared" si="0"/>
        <v>2631.6</v>
      </c>
      <c r="M53" t="str">
        <f t="shared" si="1"/>
        <v>Excellent</v>
      </c>
    </row>
    <row r="54" spans="1:13" x14ac:dyDescent="0.3">
      <c r="A54" s="8">
        <v>1053</v>
      </c>
      <c r="B54" s="8" t="s">
        <v>16</v>
      </c>
      <c r="C54" s="8" t="s">
        <v>33</v>
      </c>
      <c r="D54" s="8" t="s">
        <v>18</v>
      </c>
      <c r="E54" s="8" t="s">
        <v>28</v>
      </c>
      <c r="F54" s="8">
        <v>1</v>
      </c>
      <c r="G54" s="8">
        <v>9749</v>
      </c>
      <c r="H54" s="8">
        <v>15</v>
      </c>
      <c r="I54" s="9">
        <v>46064</v>
      </c>
      <c r="J54" s="9">
        <v>46070</v>
      </c>
      <c r="K54" s="8" t="s">
        <v>24</v>
      </c>
      <c r="L54">
        <f t="shared" si="0"/>
        <v>8286.65</v>
      </c>
      <c r="M54" t="str">
        <f t="shared" si="1"/>
        <v>Excellent</v>
      </c>
    </row>
    <row r="55" spans="1:13" x14ac:dyDescent="0.3">
      <c r="A55" s="8">
        <v>1054</v>
      </c>
      <c r="B55" s="8" t="s">
        <v>26</v>
      </c>
      <c r="C55" s="8" t="s">
        <v>25</v>
      </c>
      <c r="D55" s="8" t="s">
        <v>18</v>
      </c>
      <c r="E55" s="8" t="s">
        <v>23</v>
      </c>
      <c r="F55" s="8">
        <v>8</v>
      </c>
      <c r="G55" s="8">
        <v>9798</v>
      </c>
      <c r="H55" s="8">
        <v>12</v>
      </c>
      <c r="I55" s="9">
        <v>46200</v>
      </c>
      <c r="J55" s="9">
        <v>46201</v>
      </c>
      <c r="K55" s="8" t="s">
        <v>51</v>
      </c>
      <c r="L55">
        <f t="shared" si="0"/>
        <v>68977.919999999998</v>
      </c>
      <c r="M55" t="str">
        <f t="shared" si="1"/>
        <v>Excellent</v>
      </c>
    </row>
    <row r="56" spans="1:13" x14ac:dyDescent="0.3">
      <c r="A56" s="8">
        <v>1055</v>
      </c>
      <c r="B56" s="8" t="s">
        <v>48</v>
      </c>
      <c r="C56" s="8" t="s">
        <v>12</v>
      </c>
      <c r="D56" s="8" t="s">
        <v>13</v>
      </c>
      <c r="E56" s="8" t="s">
        <v>37</v>
      </c>
      <c r="F56" s="8">
        <v>18</v>
      </c>
      <c r="G56" s="8">
        <v>185</v>
      </c>
      <c r="H56" s="8">
        <v>15</v>
      </c>
      <c r="I56" s="9">
        <v>46077</v>
      </c>
      <c r="J56" s="9">
        <v>46078</v>
      </c>
      <c r="K56" s="8" t="s">
        <v>15</v>
      </c>
      <c r="L56">
        <f t="shared" si="0"/>
        <v>2830.5</v>
      </c>
      <c r="M56" t="str">
        <f t="shared" si="1"/>
        <v>Excellent</v>
      </c>
    </row>
    <row r="57" spans="1:13" x14ac:dyDescent="0.3">
      <c r="A57" s="8">
        <v>1056</v>
      </c>
      <c r="B57" s="8" t="s">
        <v>11</v>
      </c>
      <c r="C57" s="8" t="s">
        <v>22</v>
      </c>
      <c r="D57" s="8" t="s">
        <v>18</v>
      </c>
      <c r="E57" s="8" t="s">
        <v>19</v>
      </c>
      <c r="F57" s="8">
        <v>3</v>
      </c>
      <c r="G57" s="8">
        <v>9771</v>
      </c>
      <c r="H57" s="8">
        <v>5</v>
      </c>
      <c r="I57" s="9">
        <v>46133</v>
      </c>
      <c r="J57" s="9">
        <v>46139</v>
      </c>
      <c r="K57" s="8" t="s">
        <v>24</v>
      </c>
      <c r="L57">
        <f t="shared" si="0"/>
        <v>27847.35</v>
      </c>
      <c r="M57" t="str">
        <f t="shared" si="1"/>
        <v>Excellent</v>
      </c>
    </row>
    <row r="58" spans="1:13" x14ac:dyDescent="0.3">
      <c r="A58" s="8">
        <v>1057</v>
      </c>
      <c r="B58" s="8" t="s">
        <v>59</v>
      </c>
      <c r="C58" s="8" t="s">
        <v>22</v>
      </c>
      <c r="D58" s="8" t="s">
        <v>18</v>
      </c>
      <c r="E58" s="8" t="s">
        <v>28</v>
      </c>
      <c r="F58" s="8">
        <v>2</v>
      </c>
      <c r="G58" s="8">
        <v>9531</v>
      </c>
      <c r="H58" s="8">
        <v>15</v>
      </c>
      <c r="I58" s="9">
        <v>46067</v>
      </c>
      <c r="J58" s="9">
        <v>46076</v>
      </c>
      <c r="K58" s="8" t="s">
        <v>51</v>
      </c>
      <c r="L58">
        <f t="shared" si="0"/>
        <v>16202.699999999999</v>
      </c>
      <c r="M58" t="str">
        <f t="shared" si="1"/>
        <v>Excellent</v>
      </c>
    </row>
    <row r="59" spans="1:13" x14ac:dyDescent="0.3">
      <c r="A59" s="8">
        <v>1058</v>
      </c>
      <c r="B59" s="8" t="s">
        <v>52</v>
      </c>
      <c r="C59" s="8" t="s">
        <v>38</v>
      </c>
      <c r="D59" s="8" t="s">
        <v>18</v>
      </c>
      <c r="E59" s="8" t="s">
        <v>28</v>
      </c>
      <c r="F59" s="8">
        <v>10</v>
      </c>
      <c r="G59" s="8">
        <v>5532</v>
      </c>
      <c r="H59" s="8">
        <v>7</v>
      </c>
      <c r="I59" s="9">
        <v>46074</v>
      </c>
      <c r="J59" s="9">
        <v>46084</v>
      </c>
      <c r="K59" s="8" t="s">
        <v>24</v>
      </c>
      <c r="L59">
        <f t="shared" si="0"/>
        <v>51447.6</v>
      </c>
      <c r="M59" t="str">
        <f t="shared" si="1"/>
        <v>Excellent</v>
      </c>
    </row>
    <row r="60" spans="1:13" x14ac:dyDescent="0.3">
      <c r="A60" s="8">
        <v>1059</v>
      </c>
      <c r="B60" s="8" t="s">
        <v>54</v>
      </c>
      <c r="C60" s="8" t="s">
        <v>25</v>
      </c>
      <c r="D60" s="8" t="s">
        <v>13</v>
      </c>
      <c r="E60" s="8" t="s">
        <v>50</v>
      </c>
      <c r="F60" s="8">
        <v>20</v>
      </c>
      <c r="G60" s="8">
        <v>112</v>
      </c>
      <c r="H60" s="8">
        <v>10</v>
      </c>
      <c r="I60" s="9">
        <v>46113</v>
      </c>
      <c r="J60" s="9">
        <v>46122</v>
      </c>
      <c r="K60" s="8" t="s">
        <v>51</v>
      </c>
      <c r="L60">
        <f t="shared" si="0"/>
        <v>2016</v>
      </c>
      <c r="M60" t="str">
        <f t="shared" si="1"/>
        <v>Excellent</v>
      </c>
    </row>
    <row r="61" spans="1:13" x14ac:dyDescent="0.3">
      <c r="A61" s="8">
        <v>1060</v>
      </c>
      <c r="B61" s="8" t="s">
        <v>49</v>
      </c>
      <c r="C61" s="8" t="s">
        <v>12</v>
      </c>
      <c r="D61" s="8" t="s">
        <v>18</v>
      </c>
      <c r="E61" s="8" t="s">
        <v>44</v>
      </c>
      <c r="F61" s="8">
        <v>9</v>
      </c>
      <c r="G61" s="8">
        <v>9727</v>
      </c>
      <c r="H61" s="8">
        <v>2</v>
      </c>
      <c r="I61" s="9">
        <v>46024</v>
      </c>
      <c r="J61" s="9">
        <v>46030</v>
      </c>
      <c r="K61" s="8" t="s">
        <v>20</v>
      </c>
      <c r="L61">
        <f t="shared" si="0"/>
        <v>85792.14</v>
      </c>
      <c r="M61" t="str">
        <f t="shared" si="1"/>
        <v>Excellent</v>
      </c>
    </row>
    <row r="62" spans="1:13" x14ac:dyDescent="0.3">
      <c r="A62" s="8">
        <v>1061</v>
      </c>
      <c r="B62" s="8" t="s">
        <v>57</v>
      </c>
      <c r="C62" s="8" t="s">
        <v>12</v>
      </c>
      <c r="D62" s="8" t="s">
        <v>34</v>
      </c>
      <c r="E62" s="8" t="s">
        <v>41</v>
      </c>
      <c r="F62" s="8">
        <v>16</v>
      </c>
      <c r="G62" s="8">
        <v>59084</v>
      </c>
      <c r="H62" s="8">
        <v>0</v>
      </c>
      <c r="I62" s="9">
        <v>46060</v>
      </c>
      <c r="J62" s="9">
        <v>46069</v>
      </c>
      <c r="K62" s="8" t="s">
        <v>20</v>
      </c>
      <c r="L62">
        <f t="shared" si="0"/>
        <v>945344</v>
      </c>
      <c r="M62" t="str">
        <f t="shared" si="1"/>
        <v>Excellent</v>
      </c>
    </row>
    <row r="63" spans="1:13" x14ac:dyDescent="0.3">
      <c r="A63" s="8">
        <v>1062</v>
      </c>
      <c r="B63" s="8" t="s">
        <v>40</v>
      </c>
      <c r="C63" s="8" t="s">
        <v>43</v>
      </c>
      <c r="D63" s="8" t="s">
        <v>18</v>
      </c>
      <c r="E63" s="8" t="s">
        <v>23</v>
      </c>
      <c r="F63" s="8">
        <v>8</v>
      </c>
      <c r="G63" s="8">
        <v>8360</v>
      </c>
      <c r="H63" s="8">
        <v>2</v>
      </c>
      <c r="I63" s="9">
        <v>46190</v>
      </c>
      <c r="J63" s="9">
        <v>46200</v>
      </c>
      <c r="K63" s="8" t="s">
        <v>51</v>
      </c>
      <c r="L63">
        <f t="shared" si="0"/>
        <v>65542.399999999994</v>
      </c>
      <c r="M63" t="str">
        <f t="shared" si="1"/>
        <v>Average</v>
      </c>
    </row>
    <row r="64" spans="1:13" x14ac:dyDescent="0.3">
      <c r="A64" s="8">
        <v>1063</v>
      </c>
      <c r="B64" s="8" t="s">
        <v>54</v>
      </c>
      <c r="C64" s="8" t="s">
        <v>22</v>
      </c>
      <c r="D64" s="8" t="s">
        <v>34</v>
      </c>
      <c r="E64" s="8" t="s">
        <v>45</v>
      </c>
      <c r="F64" s="8">
        <v>7</v>
      </c>
      <c r="G64" s="8">
        <v>66744</v>
      </c>
      <c r="H64" s="8">
        <v>7</v>
      </c>
      <c r="I64" s="9">
        <v>46148</v>
      </c>
      <c r="J64" s="9">
        <v>46155</v>
      </c>
      <c r="K64" s="8" t="s">
        <v>15</v>
      </c>
      <c r="L64">
        <f t="shared" si="0"/>
        <v>434503.43999999994</v>
      </c>
      <c r="M64" t="str">
        <f t="shared" si="1"/>
        <v>Excellent</v>
      </c>
    </row>
    <row r="65" spans="1:13" x14ac:dyDescent="0.3">
      <c r="A65" s="8">
        <v>1064</v>
      </c>
      <c r="B65" s="8" t="s">
        <v>26</v>
      </c>
      <c r="C65" s="8" t="s">
        <v>17</v>
      </c>
      <c r="D65" s="8" t="s">
        <v>13</v>
      </c>
      <c r="E65" s="8" t="s">
        <v>50</v>
      </c>
      <c r="F65" s="8">
        <v>20</v>
      </c>
      <c r="G65" s="8">
        <v>191</v>
      </c>
      <c r="H65" s="8">
        <v>7</v>
      </c>
      <c r="I65" s="9">
        <v>46185</v>
      </c>
      <c r="J65" s="9">
        <v>46195</v>
      </c>
      <c r="K65" s="8" t="s">
        <v>29</v>
      </c>
      <c r="L65">
        <f t="shared" si="0"/>
        <v>3552.6</v>
      </c>
      <c r="M65" t="str">
        <f t="shared" si="1"/>
        <v>Average</v>
      </c>
    </row>
    <row r="66" spans="1:13" x14ac:dyDescent="0.3">
      <c r="A66" s="8">
        <v>1065</v>
      </c>
      <c r="B66" s="8" t="s">
        <v>42</v>
      </c>
      <c r="C66" s="8" t="s">
        <v>43</v>
      </c>
      <c r="D66" s="8" t="s">
        <v>18</v>
      </c>
      <c r="E66" s="8" t="s">
        <v>44</v>
      </c>
      <c r="F66" s="8">
        <v>1</v>
      </c>
      <c r="G66" s="8">
        <v>7730</v>
      </c>
      <c r="H66" s="8">
        <v>5</v>
      </c>
      <c r="I66" s="9">
        <v>46192</v>
      </c>
      <c r="J66" s="9">
        <v>46195</v>
      </c>
      <c r="K66" s="8" t="s">
        <v>51</v>
      </c>
      <c r="L66">
        <f t="shared" si="0"/>
        <v>7343.5</v>
      </c>
      <c r="M66" t="str">
        <f t="shared" si="1"/>
        <v>Excellent</v>
      </c>
    </row>
    <row r="67" spans="1:13" x14ac:dyDescent="0.3">
      <c r="A67" s="8">
        <v>1066</v>
      </c>
      <c r="B67" s="8" t="s">
        <v>47</v>
      </c>
      <c r="C67" s="8" t="s">
        <v>25</v>
      </c>
      <c r="D67" s="8" t="s">
        <v>18</v>
      </c>
      <c r="E67" s="8" t="s">
        <v>44</v>
      </c>
      <c r="F67" s="8">
        <v>15</v>
      </c>
      <c r="G67" s="8">
        <v>11987</v>
      </c>
      <c r="H67" s="8">
        <v>5</v>
      </c>
      <c r="I67" s="9">
        <v>46082</v>
      </c>
      <c r="J67" s="9">
        <v>46083</v>
      </c>
      <c r="K67" s="8" t="s">
        <v>15</v>
      </c>
      <c r="L67">
        <f t="shared" ref="L67:L130" si="2">F67*G67*(1-H67/100)</f>
        <v>170814.75</v>
      </c>
      <c r="M67" t="str">
        <f t="shared" ref="M67:M130" si="3">IF(L66&lt;=100000, "Excellent", IF(L66&lt;=50000, "Very Good", IF(L66&lt;=20000, "Good", "Average")))</f>
        <v>Excellent</v>
      </c>
    </row>
    <row r="68" spans="1:13" x14ac:dyDescent="0.3">
      <c r="A68" s="8">
        <v>1067</v>
      </c>
      <c r="B68" s="8" t="s">
        <v>32</v>
      </c>
      <c r="C68" s="8" t="s">
        <v>43</v>
      </c>
      <c r="D68" s="8" t="s">
        <v>18</v>
      </c>
      <c r="E68" s="8" t="s">
        <v>56</v>
      </c>
      <c r="F68" s="8">
        <v>14</v>
      </c>
      <c r="G68" s="8">
        <v>10869</v>
      </c>
      <c r="H68" s="8">
        <v>0</v>
      </c>
      <c r="I68" s="9">
        <v>46058</v>
      </c>
      <c r="J68" s="9">
        <v>46062</v>
      </c>
      <c r="K68" s="8" t="s">
        <v>29</v>
      </c>
      <c r="L68">
        <f t="shared" si="2"/>
        <v>152166</v>
      </c>
      <c r="M68" t="str">
        <f t="shared" si="3"/>
        <v>Average</v>
      </c>
    </row>
    <row r="69" spans="1:13" x14ac:dyDescent="0.3">
      <c r="A69" s="8">
        <v>1068</v>
      </c>
      <c r="B69" s="8" t="s">
        <v>52</v>
      </c>
      <c r="C69" s="8" t="s">
        <v>43</v>
      </c>
      <c r="D69" s="8" t="s">
        <v>34</v>
      </c>
      <c r="E69" s="8" t="s">
        <v>60</v>
      </c>
      <c r="F69" s="8">
        <v>15</v>
      </c>
      <c r="G69" s="8">
        <v>14534</v>
      </c>
      <c r="H69" s="8">
        <v>5</v>
      </c>
      <c r="I69" s="9">
        <v>46196</v>
      </c>
      <c r="J69" s="9">
        <v>46199</v>
      </c>
      <c r="K69" s="8" t="s">
        <v>29</v>
      </c>
      <c r="L69">
        <f t="shared" si="2"/>
        <v>207109.5</v>
      </c>
      <c r="M69" t="str">
        <f t="shared" si="3"/>
        <v>Average</v>
      </c>
    </row>
    <row r="70" spans="1:13" x14ac:dyDescent="0.3">
      <c r="A70" s="8">
        <v>1069</v>
      </c>
      <c r="B70" s="8" t="s">
        <v>52</v>
      </c>
      <c r="C70" s="8" t="s">
        <v>31</v>
      </c>
      <c r="D70" s="8" t="s">
        <v>18</v>
      </c>
      <c r="E70" s="8" t="s">
        <v>28</v>
      </c>
      <c r="F70" s="8">
        <v>9</v>
      </c>
      <c r="G70" s="8">
        <v>4415</v>
      </c>
      <c r="H70" s="8">
        <v>5</v>
      </c>
      <c r="I70" s="9">
        <v>46039</v>
      </c>
      <c r="J70" s="9">
        <v>46046</v>
      </c>
      <c r="K70" s="8" t="s">
        <v>15</v>
      </c>
      <c r="L70">
        <f t="shared" si="2"/>
        <v>37748.25</v>
      </c>
      <c r="M70" t="str">
        <f t="shared" si="3"/>
        <v>Average</v>
      </c>
    </row>
    <row r="71" spans="1:13" x14ac:dyDescent="0.3">
      <c r="A71" s="8">
        <v>1070</v>
      </c>
      <c r="B71" s="8" t="s">
        <v>52</v>
      </c>
      <c r="C71" s="8" t="s">
        <v>43</v>
      </c>
      <c r="D71" s="8" t="s">
        <v>13</v>
      </c>
      <c r="E71" s="8" t="s">
        <v>36</v>
      </c>
      <c r="F71" s="8">
        <v>10</v>
      </c>
      <c r="G71" s="8">
        <v>233</v>
      </c>
      <c r="H71" s="8">
        <v>7</v>
      </c>
      <c r="I71" s="9">
        <v>46076</v>
      </c>
      <c r="J71" s="9">
        <v>46077</v>
      </c>
      <c r="K71" s="8" t="s">
        <v>29</v>
      </c>
      <c r="L71">
        <f t="shared" si="2"/>
        <v>2166.8999999999996</v>
      </c>
      <c r="M71" t="str">
        <f t="shared" si="3"/>
        <v>Excellent</v>
      </c>
    </row>
    <row r="72" spans="1:13" x14ac:dyDescent="0.3">
      <c r="A72" s="8">
        <v>1071</v>
      </c>
      <c r="B72" s="8" t="s">
        <v>59</v>
      </c>
      <c r="C72" s="8" t="s">
        <v>22</v>
      </c>
      <c r="D72" s="8" t="s">
        <v>34</v>
      </c>
      <c r="E72" s="8" t="s">
        <v>61</v>
      </c>
      <c r="F72" s="8">
        <v>18</v>
      </c>
      <c r="G72" s="8">
        <v>32197</v>
      </c>
      <c r="H72" s="8">
        <v>5</v>
      </c>
      <c r="I72" s="9">
        <v>46129</v>
      </c>
      <c r="J72" s="9">
        <v>46137</v>
      </c>
      <c r="K72" s="8" t="s">
        <v>20</v>
      </c>
      <c r="L72">
        <f t="shared" si="2"/>
        <v>550568.69999999995</v>
      </c>
      <c r="M72" t="str">
        <f t="shared" si="3"/>
        <v>Excellent</v>
      </c>
    </row>
    <row r="73" spans="1:13" x14ac:dyDescent="0.3">
      <c r="A73" s="8">
        <v>1072</v>
      </c>
      <c r="B73" s="8" t="s">
        <v>16</v>
      </c>
      <c r="C73" s="8" t="s">
        <v>25</v>
      </c>
      <c r="D73" s="8" t="s">
        <v>34</v>
      </c>
      <c r="E73" s="8" t="s">
        <v>61</v>
      </c>
      <c r="F73" s="8">
        <v>20</v>
      </c>
      <c r="G73" s="8">
        <v>58779</v>
      </c>
      <c r="H73" s="8">
        <v>0</v>
      </c>
      <c r="I73" s="9">
        <v>46035</v>
      </c>
      <c r="J73" s="9">
        <v>46036</v>
      </c>
      <c r="K73" s="8" t="s">
        <v>24</v>
      </c>
      <c r="L73">
        <f t="shared" si="2"/>
        <v>1175580</v>
      </c>
      <c r="M73" t="str">
        <f t="shared" si="3"/>
        <v>Average</v>
      </c>
    </row>
    <row r="74" spans="1:13" x14ac:dyDescent="0.3">
      <c r="A74" s="8">
        <v>1073</v>
      </c>
      <c r="B74" s="8" t="s">
        <v>58</v>
      </c>
      <c r="C74" s="8" t="s">
        <v>17</v>
      </c>
      <c r="D74" s="8" t="s">
        <v>18</v>
      </c>
      <c r="E74" s="8" t="s">
        <v>56</v>
      </c>
      <c r="F74" s="8">
        <v>4</v>
      </c>
      <c r="G74" s="8">
        <v>2453</v>
      </c>
      <c r="H74" s="8">
        <v>7</v>
      </c>
      <c r="I74" s="9">
        <v>46126</v>
      </c>
      <c r="J74" s="9">
        <v>46129</v>
      </c>
      <c r="K74" s="8" t="s">
        <v>51</v>
      </c>
      <c r="L74">
        <f t="shared" si="2"/>
        <v>9125.16</v>
      </c>
      <c r="M74" t="str">
        <f t="shared" si="3"/>
        <v>Average</v>
      </c>
    </row>
    <row r="75" spans="1:13" x14ac:dyDescent="0.3">
      <c r="A75" s="8">
        <v>1074</v>
      </c>
      <c r="B75" s="8" t="s">
        <v>26</v>
      </c>
      <c r="C75" s="8" t="s">
        <v>31</v>
      </c>
      <c r="D75" s="8" t="s">
        <v>13</v>
      </c>
      <c r="E75" s="8" t="s">
        <v>50</v>
      </c>
      <c r="F75" s="8">
        <v>11</v>
      </c>
      <c r="G75" s="8">
        <v>390</v>
      </c>
      <c r="H75" s="8">
        <v>15</v>
      </c>
      <c r="I75" s="9">
        <v>46114</v>
      </c>
      <c r="J75" s="9">
        <v>46123</v>
      </c>
      <c r="K75" s="8" t="s">
        <v>29</v>
      </c>
      <c r="L75">
        <f t="shared" si="2"/>
        <v>3646.5</v>
      </c>
      <c r="M75" t="str">
        <f t="shared" si="3"/>
        <v>Excellent</v>
      </c>
    </row>
    <row r="76" spans="1:13" x14ac:dyDescent="0.3">
      <c r="A76" s="8">
        <v>1075</v>
      </c>
      <c r="B76" s="8" t="s">
        <v>42</v>
      </c>
      <c r="C76" s="8" t="s">
        <v>43</v>
      </c>
      <c r="D76" s="8" t="s">
        <v>34</v>
      </c>
      <c r="E76" s="8" t="s">
        <v>61</v>
      </c>
      <c r="F76" s="8">
        <v>4</v>
      </c>
      <c r="G76" s="8">
        <v>64773</v>
      </c>
      <c r="H76" s="8">
        <v>10</v>
      </c>
      <c r="I76" s="9">
        <v>46185</v>
      </c>
      <c r="J76" s="9">
        <v>46186</v>
      </c>
      <c r="K76" s="8" t="s">
        <v>51</v>
      </c>
      <c r="L76">
        <f t="shared" si="2"/>
        <v>233182.80000000002</v>
      </c>
      <c r="M76" t="str">
        <f t="shared" si="3"/>
        <v>Excellent</v>
      </c>
    </row>
    <row r="77" spans="1:13" x14ac:dyDescent="0.3">
      <c r="A77" s="8">
        <v>1076</v>
      </c>
      <c r="B77" s="8" t="s">
        <v>29</v>
      </c>
      <c r="C77" s="8" t="s">
        <v>17</v>
      </c>
      <c r="D77" s="8" t="s">
        <v>34</v>
      </c>
      <c r="E77" s="8" t="s">
        <v>35</v>
      </c>
      <c r="F77" s="8">
        <v>19</v>
      </c>
      <c r="G77" s="8">
        <v>26714</v>
      </c>
      <c r="H77" s="8">
        <v>5</v>
      </c>
      <c r="I77" s="9">
        <v>46045</v>
      </c>
      <c r="J77" s="9">
        <v>46055</v>
      </c>
      <c r="K77" s="8" t="s">
        <v>29</v>
      </c>
      <c r="L77">
        <f t="shared" si="2"/>
        <v>482187.69999999995</v>
      </c>
      <c r="M77" t="str">
        <f t="shared" si="3"/>
        <v>Average</v>
      </c>
    </row>
    <row r="78" spans="1:13" x14ac:dyDescent="0.3">
      <c r="A78" s="8">
        <v>1077</v>
      </c>
      <c r="B78" s="8" t="s">
        <v>55</v>
      </c>
      <c r="C78" s="8" t="s">
        <v>25</v>
      </c>
      <c r="D78" s="8" t="s">
        <v>13</v>
      </c>
      <c r="E78" s="8" t="s">
        <v>14</v>
      </c>
      <c r="F78" s="8">
        <v>1</v>
      </c>
      <c r="G78" s="8">
        <v>123</v>
      </c>
      <c r="H78" s="8">
        <v>10</v>
      </c>
      <c r="I78" s="9">
        <v>46113</v>
      </c>
      <c r="J78" s="9">
        <v>46121</v>
      </c>
      <c r="K78" s="8" t="s">
        <v>51</v>
      </c>
      <c r="L78">
        <f t="shared" si="2"/>
        <v>110.7</v>
      </c>
      <c r="M78" t="str">
        <f t="shared" si="3"/>
        <v>Average</v>
      </c>
    </row>
    <row r="79" spans="1:13" x14ac:dyDescent="0.3">
      <c r="A79" s="8">
        <v>1078</v>
      </c>
      <c r="B79" s="8" t="s">
        <v>52</v>
      </c>
      <c r="C79" s="8" t="s">
        <v>17</v>
      </c>
      <c r="D79" s="8" t="s">
        <v>34</v>
      </c>
      <c r="E79" s="8" t="s">
        <v>39</v>
      </c>
      <c r="F79" s="8">
        <v>11</v>
      </c>
      <c r="G79" s="8">
        <v>24278</v>
      </c>
      <c r="H79" s="8">
        <v>12</v>
      </c>
      <c r="I79" s="9">
        <v>46084</v>
      </c>
      <c r="J79" s="9">
        <v>46090</v>
      </c>
      <c r="K79" s="8" t="s">
        <v>29</v>
      </c>
      <c r="L79">
        <f t="shared" si="2"/>
        <v>235011.04</v>
      </c>
      <c r="M79" t="str">
        <f t="shared" si="3"/>
        <v>Excellent</v>
      </c>
    </row>
    <row r="80" spans="1:13" x14ac:dyDescent="0.3">
      <c r="A80" s="8">
        <v>1079</v>
      </c>
      <c r="B80" s="8" t="s">
        <v>26</v>
      </c>
      <c r="C80" s="8" t="s">
        <v>38</v>
      </c>
      <c r="D80" s="8" t="s">
        <v>34</v>
      </c>
      <c r="E80" s="8" t="s">
        <v>41</v>
      </c>
      <c r="F80" s="8">
        <v>19</v>
      </c>
      <c r="G80" s="8">
        <v>48956</v>
      </c>
      <c r="H80" s="8">
        <v>12</v>
      </c>
      <c r="I80" s="9">
        <v>46170</v>
      </c>
      <c r="J80" s="9">
        <v>46177</v>
      </c>
      <c r="K80" s="8" t="s">
        <v>51</v>
      </c>
      <c r="L80">
        <f t="shared" si="2"/>
        <v>818544.32</v>
      </c>
      <c r="M80" t="str">
        <f t="shared" si="3"/>
        <v>Average</v>
      </c>
    </row>
    <row r="81" spans="1:13" x14ac:dyDescent="0.3">
      <c r="A81" s="8">
        <v>1080</v>
      </c>
      <c r="B81" s="8" t="s">
        <v>21</v>
      </c>
      <c r="C81" s="8" t="s">
        <v>22</v>
      </c>
      <c r="D81" s="8" t="s">
        <v>34</v>
      </c>
      <c r="E81" s="8" t="s">
        <v>41</v>
      </c>
      <c r="F81" s="8">
        <v>12</v>
      </c>
      <c r="G81" s="8">
        <v>54161</v>
      </c>
      <c r="H81" s="8">
        <v>15</v>
      </c>
      <c r="I81" s="9">
        <v>46133</v>
      </c>
      <c r="J81" s="9">
        <v>46143</v>
      </c>
      <c r="K81" s="8" t="s">
        <v>24</v>
      </c>
      <c r="L81">
        <f t="shared" si="2"/>
        <v>552442.19999999995</v>
      </c>
      <c r="M81" t="str">
        <f t="shared" si="3"/>
        <v>Average</v>
      </c>
    </row>
    <row r="82" spans="1:13" x14ac:dyDescent="0.3">
      <c r="A82" s="8">
        <v>1081</v>
      </c>
      <c r="B82" s="8" t="s">
        <v>47</v>
      </c>
      <c r="C82" s="8" t="s">
        <v>12</v>
      </c>
      <c r="D82" s="8" t="s">
        <v>34</v>
      </c>
      <c r="E82" s="8" t="s">
        <v>35</v>
      </c>
      <c r="F82" s="8">
        <v>15</v>
      </c>
      <c r="G82" s="8">
        <v>59912</v>
      </c>
      <c r="H82" s="8">
        <v>7</v>
      </c>
      <c r="I82" s="9">
        <v>46058</v>
      </c>
      <c r="J82" s="9">
        <v>46060</v>
      </c>
      <c r="K82" s="8" t="s">
        <v>51</v>
      </c>
      <c r="L82">
        <f t="shared" si="2"/>
        <v>835772.39999999991</v>
      </c>
      <c r="M82" t="str">
        <f t="shared" si="3"/>
        <v>Average</v>
      </c>
    </row>
    <row r="83" spans="1:13" x14ac:dyDescent="0.3">
      <c r="A83" s="8">
        <v>1082</v>
      </c>
      <c r="B83" s="8" t="s">
        <v>21</v>
      </c>
      <c r="C83" s="8" t="s">
        <v>12</v>
      </c>
      <c r="D83" s="8" t="s">
        <v>13</v>
      </c>
      <c r="E83" s="8" t="s">
        <v>14</v>
      </c>
      <c r="F83" s="8">
        <v>7</v>
      </c>
      <c r="G83" s="8">
        <v>133</v>
      </c>
      <c r="H83" s="8">
        <v>10</v>
      </c>
      <c r="I83" s="9">
        <v>46075</v>
      </c>
      <c r="J83" s="9">
        <v>46085</v>
      </c>
      <c r="K83" s="8" t="s">
        <v>51</v>
      </c>
      <c r="L83">
        <f t="shared" si="2"/>
        <v>837.9</v>
      </c>
      <c r="M83" t="str">
        <f t="shared" si="3"/>
        <v>Average</v>
      </c>
    </row>
    <row r="84" spans="1:13" x14ac:dyDescent="0.3">
      <c r="A84" s="8">
        <v>1083</v>
      </c>
      <c r="B84" s="8" t="s">
        <v>55</v>
      </c>
      <c r="C84" s="8" t="s">
        <v>33</v>
      </c>
      <c r="D84" s="8" t="s">
        <v>13</v>
      </c>
      <c r="E84" s="8" t="s">
        <v>53</v>
      </c>
      <c r="F84" s="8">
        <v>4</v>
      </c>
      <c r="G84" s="8">
        <v>397</v>
      </c>
      <c r="H84" s="8">
        <v>7</v>
      </c>
      <c r="I84" s="9">
        <v>46185</v>
      </c>
      <c r="J84" s="9">
        <v>46193</v>
      </c>
      <c r="K84" s="8" t="s">
        <v>15</v>
      </c>
      <c r="L84">
        <f t="shared" si="2"/>
        <v>1476.84</v>
      </c>
      <c r="M84" t="str">
        <f t="shared" si="3"/>
        <v>Excellent</v>
      </c>
    </row>
    <row r="85" spans="1:13" x14ac:dyDescent="0.3">
      <c r="A85" s="8">
        <v>1084</v>
      </c>
      <c r="B85" s="8" t="s">
        <v>49</v>
      </c>
      <c r="C85" s="8" t="s">
        <v>31</v>
      </c>
      <c r="D85" s="8" t="s">
        <v>18</v>
      </c>
      <c r="E85" s="8" t="s">
        <v>28</v>
      </c>
      <c r="F85" s="8">
        <v>4</v>
      </c>
      <c r="G85" s="8">
        <v>6901</v>
      </c>
      <c r="H85" s="8">
        <v>10</v>
      </c>
      <c r="I85" s="9">
        <v>46047</v>
      </c>
      <c r="J85" s="9">
        <v>46057</v>
      </c>
      <c r="K85" s="8" t="s">
        <v>20</v>
      </c>
      <c r="L85">
        <f t="shared" si="2"/>
        <v>24843.600000000002</v>
      </c>
      <c r="M85" t="str">
        <f t="shared" si="3"/>
        <v>Excellent</v>
      </c>
    </row>
    <row r="86" spans="1:13" x14ac:dyDescent="0.3">
      <c r="A86" s="8">
        <v>1085</v>
      </c>
      <c r="B86" s="8" t="s">
        <v>32</v>
      </c>
      <c r="C86" s="8" t="s">
        <v>38</v>
      </c>
      <c r="D86" s="8" t="s">
        <v>34</v>
      </c>
      <c r="E86" s="8" t="s">
        <v>60</v>
      </c>
      <c r="F86" s="8">
        <v>19</v>
      </c>
      <c r="G86" s="8">
        <v>45307</v>
      </c>
      <c r="H86" s="8">
        <v>12</v>
      </c>
      <c r="I86" s="9">
        <v>46146</v>
      </c>
      <c r="J86" s="9">
        <v>46150</v>
      </c>
      <c r="K86" s="8" t="s">
        <v>24</v>
      </c>
      <c r="L86">
        <f t="shared" si="2"/>
        <v>757533.04</v>
      </c>
      <c r="M86" t="str">
        <f t="shared" si="3"/>
        <v>Excellent</v>
      </c>
    </row>
    <row r="87" spans="1:13" x14ac:dyDescent="0.3">
      <c r="A87" s="8">
        <v>1086</v>
      </c>
      <c r="B87" s="8" t="s">
        <v>32</v>
      </c>
      <c r="C87" s="8" t="s">
        <v>12</v>
      </c>
      <c r="D87" s="8" t="s">
        <v>13</v>
      </c>
      <c r="E87" s="8" t="s">
        <v>53</v>
      </c>
      <c r="F87" s="8">
        <v>15</v>
      </c>
      <c r="G87" s="8">
        <v>40</v>
      </c>
      <c r="H87" s="8">
        <v>10</v>
      </c>
      <c r="I87" s="9">
        <v>46045</v>
      </c>
      <c r="J87" s="9">
        <v>46049</v>
      </c>
      <c r="K87" s="8" t="s">
        <v>24</v>
      </c>
      <c r="L87">
        <f t="shared" si="2"/>
        <v>540</v>
      </c>
      <c r="M87" t="str">
        <f t="shared" si="3"/>
        <v>Average</v>
      </c>
    </row>
    <row r="88" spans="1:13" x14ac:dyDescent="0.3">
      <c r="A88" s="8">
        <v>1087</v>
      </c>
      <c r="B88" s="8" t="s">
        <v>11</v>
      </c>
      <c r="C88" s="8" t="s">
        <v>31</v>
      </c>
      <c r="D88" s="8" t="s">
        <v>13</v>
      </c>
      <c r="E88" s="8" t="s">
        <v>37</v>
      </c>
      <c r="F88" s="8">
        <v>13</v>
      </c>
      <c r="G88" s="8">
        <v>387</v>
      </c>
      <c r="H88" s="8">
        <v>7</v>
      </c>
      <c r="I88" s="9">
        <v>46171</v>
      </c>
      <c r="J88" s="9">
        <v>46176</v>
      </c>
      <c r="K88" s="8" t="s">
        <v>24</v>
      </c>
      <c r="L88">
        <f t="shared" si="2"/>
        <v>4678.83</v>
      </c>
      <c r="M88" t="str">
        <f t="shared" si="3"/>
        <v>Excellent</v>
      </c>
    </row>
    <row r="89" spans="1:13" x14ac:dyDescent="0.3">
      <c r="A89" s="8">
        <v>1088</v>
      </c>
      <c r="B89" s="8" t="s">
        <v>40</v>
      </c>
      <c r="C89" s="8" t="s">
        <v>33</v>
      </c>
      <c r="D89" s="8" t="s">
        <v>34</v>
      </c>
      <c r="E89" s="8" t="s">
        <v>41</v>
      </c>
      <c r="F89" s="8">
        <v>20</v>
      </c>
      <c r="G89" s="8">
        <v>41165</v>
      </c>
      <c r="H89" s="8">
        <v>0</v>
      </c>
      <c r="I89" s="9">
        <v>46068</v>
      </c>
      <c r="J89" s="9">
        <v>46069</v>
      </c>
      <c r="K89" s="8" t="s">
        <v>20</v>
      </c>
      <c r="L89">
        <f t="shared" si="2"/>
        <v>823300</v>
      </c>
      <c r="M89" t="str">
        <f t="shared" si="3"/>
        <v>Excellent</v>
      </c>
    </row>
    <row r="90" spans="1:13" x14ac:dyDescent="0.3">
      <c r="A90" s="8">
        <v>1089</v>
      </c>
      <c r="B90" s="8" t="s">
        <v>46</v>
      </c>
      <c r="C90" s="8" t="s">
        <v>12</v>
      </c>
      <c r="D90" s="8" t="s">
        <v>34</v>
      </c>
      <c r="E90" s="8" t="s">
        <v>35</v>
      </c>
      <c r="F90" s="8">
        <v>10</v>
      </c>
      <c r="G90" s="8">
        <v>17041</v>
      </c>
      <c r="H90" s="8">
        <v>2</v>
      </c>
      <c r="I90" s="9">
        <v>46066</v>
      </c>
      <c r="J90" s="9">
        <v>46071</v>
      </c>
      <c r="K90" s="8" t="s">
        <v>24</v>
      </c>
      <c r="L90">
        <f t="shared" si="2"/>
        <v>167001.79999999999</v>
      </c>
      <c r="M90" t="str">
        <f t="shared" si="3"/>
        <v>Average</v>
      </c>
    </row>
    <row r="91" spans="1:13" x14ac:dyDescent="0.3">
      <c r="A91" s="8">
        <v>1090</v>
      </c>
      <c r="B91" s="8" t="s">
        <v>49</v>
      </c>
      <c r="C91" s="8" t="s">
        <v>31</v>
      </c>
      <c r="D91" s="8" t="s">
        <v>34</v>
      </c>
      <c r="E91" s="8" t="s">
        <v>45</v>
      </c>
      <c r="F91" s="8">
        <v>19</v>
      </c>
      <c r="G91" s="8">
        <v>66139</v>
      </c>
      <c r="H91" s="8">
        <v>5</v>
      </c>
      <c r="I91" s="9">
        <v>46088</v>
      </c>
      <c r="J91" s="9">
        <v>46095</v>
      </c>
      <c r="K91" s="8" t="s">
        <v>24</v>
      </c>
      <c r="L91">
        <f t="shared" si="2"/>
        <v>1193808.95</v>
      </c>
      <c r="M91" t="str">
        <f t="shared" si="3"/>
        <v>Average</v>
      </c>
    </row>
    <row r="92" spans="1:13" x14ac:dyDescent="0.3">
      <c r="A92" s="8">
        <v>1091</v>
      </c>
      <c r="B92" s="8" t="s">
        <v>55</v>
      </c>
      <c r="C92" s="8" t="s">
        <v>17</v>
      </c>
      <c r="D92" s="8" t="s">
        <v>13</v>
      </c>
      <c r="E92" s="8" t="s">
        <v>53</v>
      </c>
      <c r="F92" s="8">
        <v>2</v>
      </c>
      <c r="G92" s="8">
        <v>305</v>
      </c>
      <c r="H92" s="8">
        <v>0</v>
      </c>
      <c r="I92" s="9">
        <v>46136</v>
      </c>
      <c r="J92" s="9">
        <v>46144</v>
      </c>
      <c r="K92" s="8" t="s">
        <v>15</v>
      </c>
      <c r="L92">
        <f t="shared" si="2"/>
        <v>610</v>
      </c>
      <c r="M92" t="str">
        <f t="shared" si="3"/>
        <v>Average</v>
      </c>
    </row>
    <row r="93" spans="1:13" x14ac:dyDescent="0.3">
      <c r="A93" s="8">
        <v>1092</v>
      </c>
      <c r="B93" s="8" t="s">
        <v>21</v>
      </c>
      <c r="C93" s="8" t="s">
        <v>22</v>
      </c>
      <c r="D93" s="8" t="s">
        <v>34</v>
      </c>
      <c r="E93" s="8" t="s">
        <v>41</v>
      </c>
      <c r="F93" s="8">
        <v>9</v>
      </c>
      <c r="G93" s="8">
        <v>23438</v>
      </c>
      <c r="H93" s="8">
        <v>2</v>
      </c>
      <c r="I93" s="9">
        <v>46049</v>
      </c>
      <c r="J93" s="9">
        <v>46055</v>
      </c>
      <c r="K93" s="8" t="s">
        <v>29</v>
      </c>
      <c r="L93">
        <f t="shared" si="2"/>
        <v>206723.16</v>
      </c>
      <c r="M93" t="str">
        <f t="shared" si="3"/>
        <v>Excellent</v>
      </c>
    </row>
    <row r="94" spans="1:13" x14ac:dyDescent="0.3">
      <c r="A94" s="8">
        <v>1093</v>
      </c>
      <c r="B94" s="8" t="s">
        <v>47</v>
      </c>
      <c r="C94" s="8" t="s">
        <v>25</v>
      </c>
      <c r="D94" s="8" t="s">
        <v>18</v>
      </c>
      <c r="E94" s="8" t="s">
        <v>23</v>
      </c>
      <c r="F94" s="8">
        <v>6</v>
      </c>
      <c r="G94" s="8">
        <v>8224</v>
      </c>
      <c r="H94" s="8">
        <v>15</v>
      </c>
      <c r="I94" s="9">
        <v>46175</v>
      </c>
      <c r="J94" s="9">
        <v>46185</v>
      </c>
      <c r="K94" s="8" t="s">
        <v>51</v>
      </c>
      <c r="L94">
        <f t="shared" si="2"/>
        <v>41942.400000000001</v>
      </c>
      <c r="M94" t="str">
        <f t="shared" si="3"/>
        <v>Average</v>
      </c>
    </row>
    <row r="95" spans="1:13" x14ac:dyDescent="0.3">
      <c r="A95" s="8">
        <v>1094</v>
      </c>
      <c r="B95" s="8" t="s">
        <v>47</v>
      </c>
      <c r="C95" s="8" t="s">
        <v>43</v>
      </c>
      <c r="D95" s="8" t="s">
        <v>34</v>
      </c>
      <c r="E95" s="8" t="s">
        <v>61</v>
      </c>
      <c r="F95" s="8">
        <v>4</v>
      </c>
      <c r="G95" s="8">
        <v>7073</v>
      </c>
      <c r="H95" s="8">
        <v>0</v>
      </c>
      <c r="I95" s="9">
        <v>46101</v>
      </c>
      <c r="J95" s="9">
        <v>46105</v>
      </c>
      <c r="K95" s="8" t="s">
        <v>29</v>
      </c>
      <c r="L95">
        <f t="shared" si="2"/>
        <v>28292</v>
      </c>
      <c r="M95" t="str">
        <f t="shared" si="3"/>
        <v>Excellent</v>
      </c>
    </row>
    <row r="96" spans="1:13" x14ac:dyDescent="0.3">
      <c r="A96" s="8">
        <v>1095</v>
      </c>
      <c r="B96" s="8" t="s">
        <v>47</v>
      </c>
      <c r="C96" s="8" t="s">
        <v>25</v>
      </c>
      <c r="D96" s="8" t="s">
        <v>34</v>
      </c>
      <c r="E96" s="8" t="s">
        <v>41</v>
      </c>
      <c r="F96" s="8">
        <v>18</v>
      </c>
      <c r="G96" s="8">
        <v>587</v>
      </c>
      <c r="H96" s="8">
        <v>2</v>
      </c>
      <c r="I96" s="9">
        <v>46167</v>
      </c>
      <c r="J96" s="9">
        <v>46171</v>
      </c>
      <c r="K96" s="8" t="s">
        <v>20</v>
      </c>
      <c r="L96">
        <f t="shared" si="2"/>
        <v>10354.68</v>
      </c>
      <c r="M96" t="str">
        <f t="shared" si="3"/>
        <v>Excellent</v>
      </c>
    </row>
    <row r="97" spans="1:13" x14ac:dyDescent="0.3">
      <c r="A97" s="8">
        <v>1096</v>
      </c>
      <c r="B97" s="8" t="s">
        <v>49</v>
      </c>
      <c r="C97" s="8" t="s">
        <v>17</v>
      </c>
      <c r="D97" s="8" t="s">
        <v>18</v>
      </c>
      <c r="E97" s="8" t="s">
        <v>23</v>
      </c>
      <c r="F97" s="8">
        <v>15</v>
      </c>
      <c r="G97" s="8">
        <v>14724</v>
      </c>
      <c r="H97" s="8">
        <v>15</v>
      </c>
      <c r="I97" s="9">
        <v>46054</v>
      </c>
      <c r="J97" s="9">
        <v>46061</v>
      </c>
      <c r="K97" s="8" t="s">
        <v>20</v>
      </c>
      <c r="L97">
        <f t="shared" si="2"/>
        <v>187731</v>
      </c>
      <c r="M97" t="str">
        <f t="shared" si="3"/>
        <v>Excellent</v>
      </c>
    </row>
    <row r="98" spans="1:13" x14ac:dyDescent="0.3">
      <c r="A98" s="8">
        <v>1097</v>
      </c>
      <c r="B98" s="8" t="s">
        <v>52</v>
      </c>
      <c r="C98" s="8" t="s">
        <v>22</v>
      </c>
      <c r="D98" s="8" t="s">
        <v>34</v>
      </c>
      <c r="E98" s="8" t="s">
        <v>61</v>
      </c>
      <c r="F98" s="8">
        <v>10</v>
      </c>
      <c r="G98" s="8">
        <v>28980</v>
      </c>
      <c r="H98" s="8">
        <v>10</v>
      </c>
      <c r="I98" s="9">
        <v>46089</v>
      </c>
      <c r="J98" s="9">
        <v>46094</v>
      </c>
      <c r="K98" s="8" t="s">
        <v>24</v>
      </c>
      <c r="L98">
        <f t="shared" si="2"/>
        <v>260820</v>
      </c>
      <c r="M98" t="str">
        <f t="shared" si="3"/>
        <v>Average</v>
      </c>
    </row>
    <row r="99" spans="1:13" x14ac:dyDescent="0.3">
      <c r="A99" s="8">
        <v>1098</v>
      </c>
      <c r="B99" s="8" t="s">
        <v>26</v>
      </c>
      <c r="C99" s="8" t="s">
        <v>25</v>
      </c>
      <c r="D99" s="8" t="s">
        <v>13</v>
      </c>
      <c r="E99" s="8" t="s">
        <v>53</v>
      </c>
      <c r="F99" s="8">
        <v>17</v>
      </c>
      <c r="G99" s="8">
        <v>345</v>
      </c>
      <c r="H99" s="8">
        <v>2</v>
      </c>
      <c r="I99" s="9">
        <v>46126</v>
      </c>
      <c r="J99" s="9">
        <v>46127</v>
      </c>
      <c r="K99" s="8" t="s">
        <v>51</v>
      </c>
      <c r="L99">
        <f t="shared" si="2"/>
        <v>5747.7</v>
      </c>
      <c r="M99" t="str">
        <f t="shared" si="3"/>
        <v>Average</v>
      </c>
    </row>
    <row r="100" spans="1:13" x14ac:dyDescent="0.3">
      <c r="A100" s="8">
        <v>1099</v>
      </c>
      <c r="B100" s="8" t="s">
        <v>26</v>
      </c>
      <c r="C100" s="8" t="s">
        <v>31</v>
      </c>
      <c r="D100" s="8" t="s">
        <v>18</v>
      </c>
      <c r="E100" s="8" t="s">
        <v>19</v>
      </c>
      <c r="F100" s="8">
        <v>1</v>
      </c>
      <c r="G100" s="8">
        <v>5165</v>
      </c>
      <c r="H100" s="8">
        <v>2</v>
      </c>
      <c r="I100" s="9">
        <v>46058</v>
      </c>
      <c r="J100" s="9">
        <v>46060</v>
      </c>
      <c r="K100" s="8" t="s">
        <v>15</v>
      </c>
      <c r="L100">
        <f t="shared" si="2"/>
        <v>5061.7</v>
      </c>
      <c r="M100" t="str">
        <f t="shared" si="3"/>
        <v>Excellent</v>
      </c>
    </row>
    <row r="101" spans="1:13" x14ac:dyDescent="0.3">
      <c r="A101" s="8">
        <v>1100</v>
      </c>
      <c r="B101" s="8" t="s">
        <v>11</v>
      </c>
      <c r="C101" s="8" t="s">
        <v>31</v>
      </c>
      <c r="D101" s="8" t="s">
        <v>13</v>
      </c>
      <c r="E101" s="8" t="s">
        <v>14</v>
      </c>
      <c r="F101" s="8">
        <v>11</v>
      </c>
      <c r="G101" s="8">
        <v>296</v>
      </c>
      <c r="H101" s="8">
        <v>10</v>
      </c>
      <c r="I101" s="9">
        <v>46027</v>
      </c>
      <c r="J101" s="9">
        <v>46031</v>
      </c>
      <c r="K101" s="8" t="s">
        <v>51</v>
      </c>
      <c r="L101">
        <f t="shared" si="2"/>
        <v>2930.4</v>
      </c>
      <c r="M101" t="str">
        <f t="shared" si="3"/>
        <v>Excellent</v>
      </c>
    </row>
    <row r="102" spans="1:13" x14ac:dyDescent="0.3">
      <c r="A102" s="8">
        <v>1101</v>
      </c>
      <c r="B102" s="8" t="s">
        <v>27</v>
      </c>
      <c r="C102" s="8" t="s">
        <v>22</v>
      </c>
      <c r="D102" s="8" t="s">
        <v>34</v>
      </c>
      <c r="E102" s="8" t="s">
        <v>61</v>
      </c>
      <c r="F102" s="8">
        <v>9</v>
      </c>
      <c r="G102" s="8">
        <v>37361</v>
      </c>
      <c r="H102" s="8">
        <v>10</v>
      </c>
      <c r="I102" s="9">
        <v>46141</v>
      </c>
      <c r="J102" s="9">
        <v>46142</v>
      </c>
      <c r="K102" s="8" t="s">
        <v>24</v>
      </c>
      <c r="L102">
        <f t="shared" si="2"/>
        <v>302624.10000000003</v>
      </c>
      <c r="M102" t="str">
        <f t="shared" si="3"/>
        <v>Excellent</v>
      </c>
    </row>
    <row r="103" spans="1:13" x14ac:dyDescent="0.3">
      <c r="A103" s="8">
        <v>1102</v>
      </c>
      <c r="B103" s="8" t="s">
        <v>54</v>
      </c>
      <c r="C103" s="8" t="s">
        <v>25</v>
      </c>
      <c r="D103" s="8" t="s">
        <v>34</v>
      </c>
      <c r="E103" s="8" t="s">
        <v>45</v>
      </c>
      <c r="F103" s="8">
        <v>12</v>
      </c>
      <c r="G103" s="8">
        <v>63402</v>
      </c>
      <c r="H103" s="8">
        <v>7</v>
      </c>
      <c r="I103" s="9">
        <v>46106</v>
      </c>
      <c r="J103" s="9">
        <v>46113</v>
      </c>
      <c r="K103" s="8" t="s">
        <v>51</v>
      </c>
      <c r="L103">
        <f t="shared" si="2"/>
        <v>707566.32</v>
      </c>
      <c r="M103" t="str">
        <f t="shared" si="3"/>
        <v>Average</v>
      </c>
    </row>
    <row r="104" spans="1:13" x14ac:dyDescent="0.3">
      <c r="A104" s="8">
        <v>1103</v>
      </c>
      <c r="B104" s="8" t="s">
        <v>16</v>
      </c>
      <c r="C104" s="8" t="s">
        <v>12</v>
      </c>
      <c r="D104" s="8" t="s">
        <v>18</v>
      </c>
      <c r="E104" s="8" t="s">
        <v>23</v>
      </c>
      <c r="F104" s="8">
        <v>7</v>
      </c>
      <c r="G104" s="8">
        <v>11925</v>
      </c>
      <c r="H104" s="8">
        <v>5</v>
      </c>
      <c r="I104" s="9">
        <v>46040</v>
      </c>
      <c r="J104" s="9">
        <v>46041</v>
      </c>
      <c r="K104" s="8" t="s">
        <v>29</v>
      </c>
      <c r="L104">
        <f t="shared" si="2"/>
        <v>79301.25</v>
      </c>
      <c r="M104" t="str">
        <f t="shared" si="3"/>
        <v>Average</v>
      </c>
    </row>
    <row r="105" spans="1:13" x14ac:dyDescent="0.3">
      <c r="A105" s="8">
        <v>1104</v>
      </c>
      <c r="B105" s="8" t="s">
        <v>16</v>
      </c>
      <c r="C105" s="8" t="s">
        <v>43</v>
      </c>
      <c r="D105" s="8" t="s">
        <v>18</v>
      </c>
      <c r="E105" s="8" t="s">
        <v>19</v>
      </c>
      <c r="F105" s="8">
        <v>10</v>
      </c>
      <c r="G105" s="8">
        <v>12848</v>
      </c>
      <c r="H105" s="8">
        <v>15</v>
      </c>
      <c r="I105" s="9">
        <v>46060</v>
      </c>
      <c r="J105" s="9">
        <v>46064</v>
      </c>
      <c r="K105" s="8" t="s">
        <v>29</v>
      </c>
      <c r="L105">
        <f t="shared" si="2"/>
        <v>109208</v>
      </c>
      <c r="M105" t="str">
        <f t="shared" si="3"/>
        <v>Excellent</v>
      </c>
    </row>
    <row r="106" spans="1:13" x14ac:dyDescent="0.3">
      <c r="A106" s="8">
        <v>1105</v>
      </c>
      <c r="B106" s="8" t="s">
        <v>59</v>
      </c>
      <c r="C106" s="8" t="s">
        <v>25</v>
      </c>
      <c r="D106" s="8" t="s">
        <v>13</v>
      </c>
      <c r="E106" s="8" t="s">
        <v>50</v>
      </c>
      <c r="F106" s="8">
        <v>2</v>
      </c>
      <c r="G106" s="8">
        <v>493</v>
      </c>
      <c r="H106" s="8">
        <v>12</v>
      </c>
      <c r="I106" s="9">
        <v>46057</v>
      </c>
      <c r="J106" s="9">
        <v>46066</v>
      </c>
      <c r="K106" s="8" t="s">
        <v>51</v>
      </c>
      <c r="L106">
        <f t="shared" si="2"/>
        <v>867.68</v>
      </c>
      <c r="M106" t="str">
        <f t="shared" si="3"/>
        <v>Average</v>
      </c>
    </row>
    <row r="107" spans="1:13" x14ac:dyDescent="0.3">
      <c r="A107" s="8">
        <v>1106</v>
      </c>
      <c r="B107" s="8" t="s">
        <v>27</v>
      </c>
      <c r="C107" s="8" t="s">
        <v>43</v>
      </c>
      <c r="D107" s="8" t="s">
        <v>18</v>
      </c>
      <c r="E107" s="8" t="s">
        <v>23</v>
      </c>
      <c r="F107" s="8">
        <v>20</v>
      </c>
      <c r="G107" s="8">
        <v>2141</v>
      </c>
      <c r="H107" s="8">
        <v>2</v>
      </c>
      <c r="I107" s="9">
        <v>46091</v>
      </c>
      <c r="J107" s="9">
        <v>46097</v>
      </c>
      <c r="K107" s="8" t="s">
        <v>29</v>
      </c>
      <c r="L107">
        <f t="shared" si="2"/>
        <v>41963.6</v>
      </c>
      <c r="M107" t="str">
        <f t="shared" si="3"/>
        <v>Excellent</v>
      </c>
    </row>
    <row r="108" spans="1:13" x14ac:dyDescent="0.3">
      <c r="A108" s="8">
        <v>1107</v>
      </c>
      <c r="B108" s="8" t="s">
        <v>52</v>
      </c>
      <c r="C108" s="8" t="s">
        <v>17</v>
      </c>
      <c r="D108" s="8" t="s">
        <v>34</v>
      </c>
      <c r="E108" s="8" t="s">
        <v>60</v>
      </c>
      <c r="F108" s="8">
        <v>4</v>
      </c>
      <c r="G108" s="8">
        <v>14291</v>
      </c>
      <c r="H108" s="8">
        <v>2</v>
      </c>
      <c r="I108" s="9">
        <v>46076</v>
      </c>
      <c r="J108" s="9">
        <v>46078</v>
      </c>
      <c r="K108" s="8" t="s">
        <v>15</v>
      </c>
      <c r="L108">
        <f t="shared" si="2"/>
        <v>56020.72</v>
      </c>
      <c r="M108" t="str">
        <f t="shared" si="3"/>
        <v>Excellent</v>
      </c>
    </row>
    <row r="109" spans="1:13" x14ac:dyDescent="0.3">
      <c r="A109" s="8">
        <v>1108</v>
      </c>
      <c r="B109" s="8" t="s">
        <v>42</v>
      </c>
      <c r="C109" s="8" t="s">
        <v>33</v>
      </c>
      <c r="D109" s="8" t="s">
        <v>18</v>
      </c>
      <c r="E109" s="8" t="s">
        <v>28</v>
      </c>
      <c r="F109" s="8">
        <v>15</v>
      </c>
      <c r="G109" s="8">
        <v>13843</v>
      </c>
      <c r="H109" s="8">
        <v>7</v>
      </c>
      <c r="I109" s="9">
        <v>46119</v>
      </c>
      <c r="J109" s="9">
        <v>46127</v>
      </c>
      <c r="K109" s="8" t="s">
        <v>20</v>
      </c>
      <c r="L109">
        <f t="shared" si="2"/>
        <v>193109.84999999998</v>
      </c>
      <c r="M109" t="str">
        <f t="shared" si="3"/>
        <v>Excellent</v>
      </c>
    </row>
    <row r="110" spans="1:13" x14ac:dyDescent="0.3">
      <c r="A110" s="8">
        <v>1109</v>
      </c>
      <c r="B110" s="8" t="s">
        <v>21</v>
      </c>
      <c r="C110" s="8" t="s">
        <v>31</v>
      </c>
      <c r="D110" s="8" t="s">
        <v>18</v>
      </c>
      <c r="E110" s="8" t="s">
        <v>44</v>
      </c>
      <c r="F110" s="8">
        <v>19</v>
      </c>
      <c r="G110" s="8">
        <v>6512</v>
      </c>
      <c r="H110" s="8">
        <v>10</v>
      </c>
      <c r="I110" s="9">
        <v>46033</v>
      </c>
      <c r="J110" s="9">
        <v>46037</v>
      </c>
      <c r="K110" s="8" t="s">
        <v>20</v>
      </c>
      <c r="L110">
        <f t="shared" si="2"/>
        <v>111355.2</v>
      </c>
      <c r="M110" t="str">
        <f t="shared" si="3"/>
        <v>Average</v>
      </c>
    </row>
    <row r="111" spans="1:13" x14ac:dyDescent="0.3">
      <c r="A111" s="8">
        <v>1110</v>
      </c>
      <c r="B111" s="8" t="s">
        <v>49</v>
      </c>
      <c r="C111" s="8" t="s">
        <v>38</v>
      </c>
      <c r="D111" s="8" t="s">
        <v>18</v>
      </c>
      <c r="E111" s="8" t="s">
        <v>23</v>
      </c>
      <c r="F111" s="8">
        <v>14</v>
      </c>
      <c r="G111" s="8">
        <v>6793</v>
      </c>
      <c r="H111" s="8">
        <v>7</v>
      </c>
      <c r="I111" s="9">
        <v>46077</v>
      </c>
      <c r="J111" s="9">
        <v>46082</v>
      </c>
      <c r="K111" s="8" t="s">
        <v>29</v>
      </c>
      <c r="L111">
        <f t="shared" si="2"/>
        <v>88444.86</v>
      </c>
      <c r="M111" t="str">
        <f t="shared" si="3"/>
        <v>Average</v>
      </c>
    </row>
    <row r="112" spans="1:13" x14ac:dyDescent="0.3">
      <c r="A112" s="8">
        <v>1111</v>
      </c>
      <c r="B112" s="8" t="s">
        <v>47</v>
      </c>
      <c r="C112" s="8" t="s">
        <v>17</v>
      </c>
      <c r="D112" s="8" t="s">
        <v>34</v>
      </c>
      <c r="E112" s="8" t="s">
        <v>35</v>
      </c>
      <c r="F112" s="8">
        <v>5</v>
      </c>
      <c r="G112" s="8">
        <v>49945</v>
      </c>
      <c r="H112" s="8">
        <v>12</v>
      </c>
      <c r="I112" s="9">
        <v>46133</v>
      </c>
      <c r="J112" s="9">
        <v>46141</v>
      </c>
      <c r="K112" s="8" t="s">
        <v>29</v>
      </c>
      <c r="L112">
        <f t="shared" si="2"/>
        <v>219758</v>
      </c>
      <c r="M112" t="str">
        <f t="shared" si="3"/>
        <v>Excellent</v>
      </c>
    </row>
    <row r="113" spans="1:13" x14ac:dyDescent="0.3">
      <c r="A113" s="8">
        <v>1112</v>
      </c>
      <c r="B113" s="8" t="s">
        <v>21</v>
      </c>
      <c r="C113" s="8" t="s">
        <v>43</v>
      </c>
      <c r="D113" s="8" t="s">
        <v>18</v>
      </c>
      <c r="E113" s="8" t="s">
        <v>44</v>
      </c>
      <c r="F113" s="8">
        <v>7</v>
      </c>
      <c r="G113" s="8">
        <v>1959</v>
      </c>
      <c r="H113" s="8">
        <v>15</v>
      </c>
      <c r="I113" s="9">
        <v>46090</v>
      </c>
      <c r="J113" s="9">
        <v>46100</v>
      </c>
      <c r="K113" s="8" t="s">
        <v>15</v>
      </c>
      <c r="L113">
        <f t="shared" si="2"/>
        <v>11656.05</v>
      </c>
      <c r="M113" t="str">
        <f t="shared" si="3"/>
        <v>Average</v>
      </c>
    </row>
    <row r="114" spans="1:13" x14ac:dyDescent="0.3">
      <c r="A114" s="8">
        <v>1113</v>
      </c>
      <c r="B114" s="8" t="s">
        <v>26</v>
      </c>
      <c r="C114" s="8" t="s">
        <v>43</v>
      </c>
      <c r="D114" s="8" t="s">
        <v>18</v>
      </c>
      <c r="E114" s="8" t="s">
        <v>56</v>
      </c>
      <c r="F114" s="8">
        <v>13</v>
      </c>
      <c r="G114" s="8">
        <v>6719</v>
      </c>
      <c r="H114" s="8">
        <v>15</v>
      </c>
      <c r="I114" s="9">
        <v>46076</v>
      </c>
      <c r="J114" s="9">
        <v>46081</v>
      </c>
      <c r="K114" s="8" t="s">
        <v>24</v>
      </c>
      <c r="L114">
        <f t="shared" si="2"/>
        <v>74244.95</v>
      </c>
      <c r="M114" t="str">
        <f t="shared" si="3"/>
        <v>Excellent</v>
      </c>
    </row>
    <row r="115" spans="1:13" x14ac:dyDescent="0.3">
      <c r="A115" s="8">
        <v>1114</v>
      </c>
      <c r="B115" s="8" t="s">
        <v>16</v>
      </c>
      <c r="C115" s="8" t="s">
        <v>25</v>
      </c>
      <c r="D115" s="8" t="s">
        <v>13</v>
      </c>
      <c r="E115" s="8" t="s">
        <v>50</v>
      </c>
      <c r="F115" s="8">
        <v>13</v>
      </c>
      <c r="G115" s="8">
        <v>32</v>
      </c>
      <c r="H115" s="8">
        <v>15</v>
      </c>
      <c r="I115" s="9">
        <v>46066</v>
      </c>
      <c r="J115" s="9">
        <v>46069</v>
      </c>
      <c r="K115" s="8" t="s">
        <v>15</v>
      </c>
      <c r="L115">
        <f t="shared" si="2"/>
        <v>353.59999999999997</v>
      </c>
      <c r="M115" t="str">
        <f t="shared" si="3"/>
        <v>Excellent</v>
      </c>
    </row>
    <row r="116" spans="1:13" x14ac:dyDescent="0.3">
      <c r="A116" s="8">
        <v>1115</v>
      </c>
      <c r="B116" s="8" t="s">
        <v>59</v>
      </c>
      <c r="C116" s="8" t="s">
        <v>43</v>
      </c>
      <c r="D116" s="8" t="s">
        <v>13</v>
      </c>
      <c r="E116" s="8" t="s">
        <v>50</v>
      </c>
      <c r="F116" s="8">
        <v>9</v>
      </c>
      <c r="G116" s="8">
        <v>303</v>
      </c>
      <c r="H116" s="8">
        <v>10</v>
      </c>
      <c r="I116" s="9">
        <v>46149</v>
      </c>
      <c r="J116" s="9">
        <v>46157</v>
      </c>
      <c r="K116" s="8" t="s">
        <v>29</v>
      </c>
      <c r="L116">
        <f t="shared" si="2"/>
        <v>2454.3000000000002</v>
      </c>
      <c r="M116" t="str">
        <f t="shared" si="3"/>
        <v>Excellent</v>
      </c>
    </row>
    <row r="117" spans="1:13" x14ac:dyDescent="0.3">
      <c r="A117" s="8">
        <v>1116</v>
      </c>
      <c r="B117" s="8" t="s">
        <v>16</v>
      </c>
      <c r="C117" s="8" t="s">
        <v>25</v>
      </c>
      <c r="D117" s="8" t="s">
        <v>18</v>
      </c>
      <c r="E117" s="8" t="s">
        <v>56</v>
      </c>
      <c r="F117" s="8">
        <v>2</v>
      </c>
      <c r="G117" s="8">
        <v>12692</v>
      </c>
      <c r="H117" s="8">
        <v>15</v>
      </c>
      <c r="I117" s="9">
        <v>46049</v>
      </c>
      <c r="J117" s="9">
        <v>46051</v>
      </c>
      <c r="K117" s="8" t="s">
        <v>15</v>
      </c>
      <c r="L117">
        <f t="shared" si="2"/>
        <v>21576.399999999998</v>
      </c>
      <c r="M117" t="str">
        <f t="shared" si="3"/>
        <v>Excellent</v>
      </c>
    </row>
    <row r="118" spans="1:13" x14ac:dyDescent="0.3">
      <c r="A118" s="8">
        <v>1117</v>
      </c>
      <c r="B118" s="8" t="s">
        <v>55</v>
      </c>
      <c r="C118" s="8" t="s">
        <v>43</v>
      </c>
      <c r="D118" s="8" t="s">
        <v>34</v>
      </c>
      <c r="E118" s="8" t="s">
        <v>39</v>
      </c>
      <c r="F118" s="8">
        <v>16</v>
      </c>
      <c r="G118" s="8">
        <v>33162</v>
      </c>
      <c r="H118" s="8">
        <v>7</v>
      </c>
      <c r="I118" s="9">
        <v>46147</v>
      </c>
      <c r="J118" s="9">
        <v>46155</v>
      </c>
      <c r="K118" s="8" t="s">
        <v>29</v>
      </c>
      <c r="L118">
        <f t="shared" si="2"/>
        <v>493450.55999999994</v>
      </c>
      <c r="M118" t="str">
        <f t="shared" si="3"/>
        <v>Excellent</v>
      </c>
    </row>
    <row r="119" spans="1:13" x14ac:dyDescent="0.3">
      <c r="A119" s="8">
        <v>1118</v>
      </c>
      <c r="B119" s="8" t="s">
        <v>21</v>
      </c>
      <c r="C119" s="8" t="s">
        <v>22</v>
      </c>
      <c r="D119" s="8" t="s">
        <v>18</v>
      </c>
      <c r="E119" s="8" t="s">
        <v>23</v>
      </c>
      <c r="F119" s="8">
        <v>18</v>
      </c>
      <c r="G119" s="8">
        <v>9118</v>
      </c>
      <c r="H119" s="8">
        <v>5</v>
      </c>
      <c r="I119" s="9">
        <v>46178</v>
      </c>
      <c r="J119" s="9">
        <v>46187</v>
      </c>
      <c r="K119" s="8" t="s">
        <v>29</v>
      </c>
      <c r="L119">
        <f t="shared" si="2"/>
        <v>155917.79999999999</v>
      </c>
      <c r="M119" t="str">
        <f t="shared" si="3"/>
        <v>Average</v>
      </c>
    </row>
    <row r="120" spans="1:13" x14ac:dyDescent="0.3">
      <c r="A120" s="8">
        <v>1119</v>
      </c>
      <c r="B120" s="8" t="s">
        <v>30</v>
      </c>
      <c r="C120" s="8" t="s">
        <v>43</v>
      </c>
      <c r="D120" s="8" t="s">
        <v>18</v>
      </c>
      <c r="E120" s="8" t="s">
        <v>28</v>
      </c>
      <c r="F120" s="8">
        <v>2</v>
      </c>
      <c r="G120" s="8">
        <v>3706</v>
      </c>
      <c r="H120" s="8">
        <v>5</v>
      </c>
      <c r="I120" s="9">
        <v>46184</v>
      </c>
      <c r="J120" s="9">
        <v>46192</v>
      </c>
      <c r="K120" s="8" t="s">
        <v>51</v>
      </c>
      <c r="L120">
        <f t="shared" si="2"/>
        <v>7041.4</v>
      </c>
      <c r="M120" t="str">
        <f t="shared" si="3"/>
        <v>Average</v>
      </c>
    </row>
    <row r="121" spans="1:13" x14ac:dyDescent="0.3">
      <c r="A121" s="8">
        <v>1120</v>
      </c>
      <c r="B121" s="8" t="s">
        <v>32</v>
      </c>
      <c r="C121" s="8" t="s">
        <v>38</v>
      </c>
      <c r="D121" s="8" t="s">
        <v>13</v>
      </c>
      <c r="E121" s="8" t="s">
        <v>36</v>
      </c>
      <c r="F121" s="8">
        <v>10</v>
      </c>
      <c r="G121" s="8">
        <v>438</v>
      </c>
      <c r="H121" s="8">
        <v>10</v>
      </c>
      <c r="I121" s="9">
        <v>46061</v>
      </c>
      <c r="J121" s="9">
        <v>46065</v>
      </c>
      <c r="K121" s="8" t="s">
        <v>51</v>
      </c>
      <c r="L121">
        <f t="shared" si="2"/>
        <v>3942</v>
      </c>
      <c r="M121" t="str">
        <f t="shared" si="3"/>
        <v>Excellent</v>
      </c>
    </row>
    <row r="122" spans="1:13" x14ac:dyDescent="0.3">
      <c r="A122" s="8">
        <v>1121</v>
      </c>
      <c r="B122" s="8" t="s">
        <v>29</v>
      </c>
      <c r="C122" s="8" t="s">
        <v>12</v>
      </c>
      <c r="D122" s="8" t="s">
        <v>34</v>
      </c>
      <c r="E122" s="8" t="s">
        <v>39</v>
      </c>
      <c r="F122" s="8">
        <v>4</v>
      </c>
      <c r="G122" s="8">
        <v>55809</v>
      </c>
      <c r="H122" s="8">
        <v>2</v>
      </c>
      <c r="I122" s="9">
        <v>46103</v>
      </c>
      <c r="J122" s="9">
        <v>46108</v>
      </c>
      <c r="K122" s="8" t="s">
        <v>29</v>
      </c>
      <c r="L122">
        <f t="shared" si="2"/>
        <v>218771.28</v>
      </c>
      <c r="M122" t="str">
        <f t="shared" si="3"/>
        <v>Excellent</v>
      </c>
    </row>
    <row r="123" spans="1:13" x14ac:dyDescent="0.3">
      <c r="A123" s="8">
        <v>1122</v>
      </c>
      <c r="B123" s="8" t="s">
        <v>40</v>
      </c>
      <c r="C123" s="8" t="s">
        <v>22</v>
      </c>
      <c r="D123" s="8" t="s">
        <v>34</v>
      </c>
      <c r="E123" s="8" t="s">
        <v>39</v>
      </c>
      <c r="F123" s="8">
        <v>14</v>
      </c>
      <c r="G123" s="8">
        <v>49990</v>
      </c>
      <c r="H123" s="8">
        <v>10</v>
      </c>
      <c r="I123" s="9">
        <v>46132</v>
      </c>
      <c r="J123" s="9">
        <v>46135</v>
      </c>
      <c r="K123" s="8" t="s">
        <v>29</v>
      </c>
      <c r="L123">
        <f t="shared" si="2"/>
        <v>629874</v>
      </c>
      <c r="M123" t="str">
        <f t="shared" si="3"/>
        <v>Average</v>
      </c>
    </row>
    <row r="124" spans="1:13" x14ac:dyDescent="0.3">
      <c r="A124" s="8">
        <v>1123</v>
      </c>
      <c r="B124" s="8" t="s">
        <v>32</v>
      </c>
      <c r="C124" s="8" t="s">
        <v>31</v>
      </c>
      <c r="D124" s="8" t="s">
        <v>34</v>
      </c>
      <c r="E124" s="8" t="s">
        <v>45</v>
      </c>
      <c r="F124" s="8">
        <v>16</v>
      </c>
      <c r="G124" s="8">
        <v>1332</v>
      </c>
      <c r="H124" s="8">
        <v>7</v>
      </c>
      <c r="I124" s="9">
        <v>46107</v>
      </c>
      <c r="J124" s="9">
        <v>46109</v>
      </c>
      <c r="K124" s="8" t="s">
        <v>29</v>
      </c>
      <c r="L124">
        <f t="shared" si="2"/>
        <v>19820.16</v>
      </c>
      <c r="M124" t="str">
        <f t="shared" si="3"/>
        <v>Average</v>
      </c>
    </row>
    <row r="125" spans="1:13" x14ac:dyDescent="0.3">
      <c r="A125" s="8">
        <v>1124</v>
      </c>
      <c r="B125" s="8" t="s">
        <v>27</v>
      </c>
      <c r="C125" s="8" t="s">
        <v>38</v>
      </c>
      <c r="D125" s="8" t="s">
        <v>18</v>
      </c>
      <c r="E125" s="8" t="s">
        <v>56</v>
      </c>
      <c r="F125" s="8">
        <v>4</v>
      </c>
      <c r="G125" s="8">
        <v>14195</v>
      </c>
      <c r="H125" s="8">
        <v>15</v>
      </c>
      <c r="I125" s="9">
        <v>46182</v>
      </c>
      <c r="J125" s="9">
        <v>46189</v>
      </c>
      <c r="K125" s="8" t="s">
        <v>51</v>
      </c>
      <c r="L125">
        <f t="shared" si="2"/>
        <v>48263</v>
      </c>
      <c r="M125" t="str">
        <f t="shared" si="3"/>
        <v>Excellent</v>
      </c>
    </row>
    <row r="126" spans="1:13" x14ac:dyDescent="0.3">
      <c r="A126" s="8">
        <v>1125</v>
      </c>
      <c r="B126" s="8" t="s">
        <v>49</v>
      </c>
      <c r="C126" s="8" t="s">
        <v>33</v>
      </c>
      <c r="D126" s="8" t="s">
        <v>13</v>
      </c>
      <c r="E126" s="8" t="s">
        <v>14</v>
      </c>
      <c r="F126" s="8">
        <v>6</v>
      </c>
      <c r="G126" s="8">
        <v>30</v>
      </c>
      <c r="H126" s="8">
        <v>2</v>
      </c>
      <c r="I126" s="9">
        <v>46133</v>
      </c>
      <c r="J126" s="9">
        <v>46138</v>
      </c>
      <c r="K126" s="8" t="s">
        <v>24</v>
      </c>
      <c r="L126">
        <f t="shared" si="2"/>
        <v>176.4</v>
      </c>
      <c r="M126" t="str">
        <f t="shared" si="3"/>
        <v>Excellent</v>
      </c>
    </row>
    <row r="127" spans="1:13" x14ac:dyDescent="0.3">
      <c r="A127" s="8">
        <v>1126</v>
      </c>
      <c r="B127" s="8" t="s">
        <v>46</v>
      </c>
      <c r="C127" s="8" t="s">
        <v>22</v>
      </c>
      <c r="D127" s="8" t="s">
        <v>34</v>
      </c>
      <c r="E127" s="8" t="s">
        <v>39</v>
      </c>
      <c r="F127" s="8">
        <v>17</v>
      </c>
      <c r="G127" s="8">
        <v>19390</v>
      </c>
      <c r="H127" s="8">
        <v>12</v>
      </c>
      <c r="I127" s="9">
        <v>46201</v>
      </c>
      <c r="J127" s="9">
        <v>46206</v>
      </c>
      <c r="K127" s="8" t="s">
        <v>29</v>
      </c>
      <c r="L127">
        <f t="shared" si="2"/>
        <v>290074.40000000002</v>
      </c>
      <c r="M127" t="str">
        <f t="shared" si="3"/>
        <v>Excellent</v>
      </c>
    </row>
    <row r="128" spans="1:13" x14ac:dyDescent="0.3">
      <c r="A128" s="8">
        <v>1127</v>
      </c>
      <c r="B128" s="8" t="s">
        <v>26</v>
      </c>
      <c r="C128" s="8" t="s">
        <v>33</v>
      </c>
      <c r="D128" s="8" t="s">
        <v>18</v>
      </c>
      <c r="E128" s="8" t="s">
        <v>28</v>
      </c>
      <c r="F128" s="8">
        <v>15</v>
      </c>
      <c r="G128" s="8">
        <v>11694</v>
      </c>
      <c r="H128" s="8">
        <v>12</v>
      </c>
      <c r="I128" s="9">
        <v>46170</v>
      </c>
      <c r="J128" s="9">
        <v>46179</v>
      </c>
      <c r="K128" s="8" t="s">
        <v>29</v>
      </c>
      <c r="L128">
        <f t="shared" si="2"/>
        <v>154360.79999999999</v>
      </c>
      <c r="M128" t="str">
        <f t="shared" si="3"/>
        <v>Average</v>
      </c>
    </row>
    <row r="129" spans="1:13" x14ac:dyDescent="0.3">
      <c r="A129" s="8">
        <v>1128</v>
      </c>
      <c r="B129" s="8" t="s">
        <v>30</v>
      </c>
      <c r="C129" s="8" t="s">
        <v>22</v>
      </c>
      <c r="D129" s="8" t="s">
        <v>34</v>
      </c>
      <c r="E129" s="8" t="s">
        <v>61</v>
      </c>
      <c r="F129" s="8">
        <v>6</v>
      </c>
      <c r="G129" s="8">
        <v>5001</v>
      </c>
      <c r="H129" s="8">
        <v>7</v>
      </c>
      <c r="I129" s="9">
        <v>46044</v>
      </c>
      <c r="J129" s="9">
        <v>46050</v>
      </c>
      <c r="K129" s="8" t="s">
        <v>29</v>
      </c>
      <c r="L129">
        <f t="shared" si="2"/>
        <v>27905.579999999998</v>
      </c>
      <c r="M129" t="str">
        <f t="shared" si="3"/>
        <v>Average</v>
      </c>
    </row>
    <row r="130" spans="1:13" x14ac:dyDescent="0.3">
      <c r="A130" s="8">
        <v>1129</v>
      </c>
      <c r="B130" s="8" t="s">
        <v>58</v>
      </c>
      <c r="C130" s="8" t="s">
        <v>17</v>
      </c>
      <c r="D130" s="8" t="s">
        <v>13</v>
      </c>
      <c r="E130" s="8" t="s">
        <v>50</v>
      </c>
      <c r="F130" s="8">
        <v>15</v>
      </c>
      <c r="G130" s="8">
        <v>75</v>
      </c>
      <c r="H130" s="8">
        <v>7</v>
      </c>
      <c r="I130" s="9">
        <v>46160</v>
      </c>
      <c r="J130" s="9">
        <v>46164</v>
      </c>
      <c r="K130" s="8" t="s">
        <v>29</v>
      </c>
      <c r="L130">
        <f t="shared" si="2"/>
        <v>1046.25</v>
      </c>
      <c r="M130" t="str">
        <f t="shared" si="3"/>
        <v>Excellent</v>
      </c>
    </row>
    <row r="131" spans="1:13" x14ac:dyDescent="0.3">
      <c r="A131" s="8">
        <v>1130</v>
      </c>
      <c r="B131" s="8" t="s">
        <v>48</v>
      </c>
      <c r="C131" s="8" t="s">
        <v>33</v>
      </c>
      <c r="D131" s="8" t="s">
        <v>13</v>
      </c>
      <c r="E131" s="8" t="s">
        <v>14</v>
      </c>
      <c r="F131" s="8">
        <v>12</v>
      </c>
      <c r="G131" s="8">
        <v>50</v>
      </c>
      <c r="H131" s="8">
        <v>2</v>
      </c>
      <c r="I131" s="9">
        <v>46125</v>
      </c>
      <c r="J131" s="9">
        <v>46131</v>
      </c>
      <c r="K131" s="8" t="s">
        <v>24</v>
      </c>
      <c r="L131">
        <f t="shared" ref="L131:L194" si="4">F131*G131*(1-H131/100)</f>
        <v>588</v>
      </c>
      <c r="M131" t="str">
        <f t="shared" ref="M131:M194" si="5">IF(L130&lt;=100000, "Excellent", IF(L130&lt;=50000, "Very Good", IF(L130&lt;=20000, "Good", "Average")))</f>
        <v>Excellent</v>
      </c>
    </row>
    <row r="132" spans="1:13" x14ac:dyDescent="0.3">
      <c r="A132" s="8">
        <v>1131</v>
      </c>
      <c r="B132" s="8" t="s">
        <v>21</v>
      </c>
      <c r="C132" s="8" t="s">
        <v>31</v>
      </c>
      <c r="D132" s="8" t="s">
        <v>18</v>
      </c>
      <c r="E132" s="8" t="s">
        <v>23</v>
      </c>
      <c r="F132" s="8">
        <v>13</v>
      </c>
      <c r="G132" s="8">
        <v>3083</v>
      </c>
      <c r="H132" s="8">
        <v>7</v>
      </c>
      <c r="I132" s="9">
        <v>46168</v>
      </c>
      <c r="J132" s="9">
        <v>46173</v>
      </c>
      <c r="K132" s="8" t="s">
        <v>51</v>
      </c>
      <c r="L132">
        <f t="shared" si="4"/>
        <v>37273.469999999994</v>
      </c>
      <c r="M132" t="str">
        <f t="shared" si="5"/>
        <v>Excellent</v>
      </c>
    </row>
    <row r="133" spans="1:13" x14ac:dyDescent="0.3">
      <c r="A133" s="8">
        <v>1132</v>
      </c>
      <c r="B133" s="8" t="s">
        <v>11</v>
      </c>
      <c r="C133" s="8" t="s">
        <v>31</v>
      </c>
      <c r="D133" s="8" t="s">
        <v>13</v>
      </c>
      <c r="E133" s="8" t="s">
        <v>50</v>
      </c>
      <c r="F133" s="8">
        <v>10</v>
      </c>
      <c r="G133" s="8">
        <v>270</v>
      </c>
      <c r="H133" s="8">
        <v>7</v>
      </c>
      <c r="I133" s="9">
        <v>46024</v>
      </c>
      <c r="J133" s="9">
        <v>46034</v>
      </c>
      <c r="K133" s="8" t="s">
        <v>24</v>
      </c>
      <c r="L133">
        <f t="shared" si="4"/>
        <v>2511</v>
      </c>
      <c r="M133" t="str">
        <f t="shared" si="5"/>
        <v>Excellent</v>
      </c>
    </row>
    <row r="134" spans="1:13" x14ac:dyDescent="0.3">
      <c r="A134" s="8">
        <v>1133</v>
      </c>
      <c r="B134" s="8" t="s">
        <v>11</v>
      </c>
      <c r="C134" s="8" t="s">
        <v>12</v>
      </c>
      <c r="D134" s="8" t="s">
        <v>18</v>
      </c>
      <c r="E134" s="8" t="s">
        <v>56</v>
      </c>
      <c r="F134" s="8">
        <v>6</v>
      </c>
      <c r="G134" s="8">
        <v>9037</v>
      </c>
      <c r="H134" s="8">
        <v>2</v>
      </c>
      <c r="I134" s="9">
        <v>46112</v>
      </c>
      <c r="J134" s="9">
        <v>46121</v>
      </c>
      <c r="K134" s="8" t="s">
        <v>51</v>
      </c>
      <c r="L134">
        <f t="shared" si="4"/>
        <v>53137.56</v>
      </c>
      <c r="M134" t="str">
        <f t="shared" si="5"/>
        <v>Excellent</v>
      </c>
    </row>
    <row r="135" spans="1:13" x14ac:dyDescent="0.3">
      <c r="A135" s="8">
        <v>1134</v>
      </c>
      <c r="B135" s="8" t="s">
        <v>57</v>
      </c>
      <c r="C135" s="8" t="s">
        <v>31</v>
      </c>
      <c r="D135" s="8" t="s">
        <v>34</v>
      </c>
      <c r="E135" s="8" t="s">
        <v>61</v>
      </c>
      <c r="F135" s="8">
        <v>10</v>
      </c>
      <c r="G135" s="8">
        <v>29217</v>
      </c>
      <c r="H135" s="8">
        <v>15</v>
      </c>
      <c r="I135" s="9">
        <v>46148</v>
      </c>
      <c r="J135" s="9">
        <v>46150</v>
      </c>
      <c r="K135" s="8" t="s">
        <v>24</v>
      </c>
      <c r="L135">
        <f t="shared" si="4"/>
        <v>248344.5</v>
      </c>
      <c r="M135" t="str">
        <f t="shared" si="5"/>
        <v>Excellent</v>
      </c>
    </row>
    <row r="136" spans="1:13" x14ac:dyDescent="0.3">
      <c r="A136" s="8">
        <v>1135</v>
      </c>
      <c r="B136" s="8" t="s">
        <v>49</v>
      </c>
      <c r="C136" s="8" t="s">
        <v>43</v>
      </c>
      <c r="D136" s="8" t="s">
        <v>34</v>
      </c>
      <c r="E136" s="8" t="s">
        <v>39</v>
      </c>
      <c r="F136" s="8">
        <v>14</v>
      </c>
      <c r="G136" s="8">
        <v>68534</v>
      </c>
      <c r="H136" s="8">
        <v>0</v>
      </c>
      <c r="I136" s="9">
        <v>46041</v>
      </c>
      <c r="J136" s="9">
        <v>46042</v>
      </c>
      <c r="K136" s="8" t="s">
        <v>15</v>
      </c>
      <c r="L136">
        <f t="shared" si="4"/>
        <v>959476</v>
      </c>
      <c r="M136" t="str">
        <f t="shared" si="5"/>
        <v>Average</v>
      </c>
    </row>
    <row r="137" spans="1:13" x14ac:dyDescent="0.3">
      <c r="A137" s="8">
        <v>1136</v>
      </c>
      <c r="B137" s="8" t="s">
        <v>27</v>
      </c>
      <c r="C137" s="8" t="s">
        <v>43</v>
      </c>
      <c r="D137" s="8" t="s">
        <v>18</v>
      </c>
      <c r="E137" s="8" t="s">
        <v>56</v>
      </c>
      <c r="F137" s="8">
        <v>19</v>
      </c>
      <c r="G137" s="8">
        <v>14528</v>
      </c>
      <c r="H137" s="8">
        <v>12</v>
      </c>
      <c r="I137" s="9">
        <v>46056</v>
      </c>
      <c r="J137" s="9">
        <v>46062</v>
      </c>
      <c r="K137" s="8" t="s">
        <v>24</v>
      </c>
      <c r="L137">
        <f t="shared" si="4"/>
        <v>242908.16</v>
      </c>
      <c r="M137" t="str">
        <f t="shared" si="5"/>
        <v>Average</v>
      </c>
    </row>
    <row r="138" spans="1:13" x14ac:dyDescent="0.3">
      <c r="A138" s="8">
        <v>1137</v>
      </c>
      <c r="B138" s="8" t="s">
        <v>52</v>
      </c>
      <c r="C138" s="8" t="s">
        <v>12</v>
      </c>
      <c r="D138" s="8" t="s">
        <v>13</v>
      </c>
      <c r="E138" s="8" t="s">
        <v>37</v>
      </c>
      <c r="F138" s="8">
        <v>16</v>
      </c>
      <c r="G138" s="8">
        <v>270</v>
      </c>
      <c r="H138" s="8">
        <v>10</v>
      </c>
      <c r="I138" s="9">
        <v>46184</v>
      </c>
      <c r="J138" s="9">
        <v>46190</v>
      </c>
      <c r="K138" s="8" t="s">
        <v>29</v>
      </c>
      <c r="L138">
        <f t="shared" si="4"/>
        <v>3888</v>
      </c>
      <c r="M138" t="str">
        <f t="shared" si="5"/>
        <v>Average</v>
      </c>
    </row>
    <row r="139" spans="1:13" x14ac:dyDescent="0.3">
      <c r="A139" s="8">
        <v>1138</v>
      </c>
      <c r="B139" s="8" t="s">
        <v>55</v>
      </c>
      <c r="C139" s="8" t="s">
        <v>43</v>
      </c>
      <c r="D139" s="8" t="s">
        <v>18</v>
      </c>
      <c r="E139" s="8" t="s">
        <v>19</v>
      </c>
      <c r="F139" s="8">
        <v>5</v>
      </c>
      <c r="G139" s="8">
        <v>14466</v>
      </c>
      <c r="H139" s="8">
        <v>2</v>
      </c>
      <c r="I139" s="9">
        <v>46084</v>
      </c>
      <c r="J139" s="9">
        <v>46092</v>
      </c>
      <c r="K139" s="8" t="s">
        <v>51</v>
      </c>
      <c r="L139">
        <f t="shared" si="4"/>
        <v>70883.399999999994</v>
      </c>
      <c r="M139" t="str">
        <f t="shared" si="5"/>
        <v>Excellent</v>
      </c>
    </row>
    <row r="140" spans="1:13" x14ac:dyDescent="0.3">
      <c r="A140" s="8">
        <v>1139</v>
      </c>
      <c r="B140" s="8" t="s">
        <v>55</v>
      </c>
      <c r="C140" s="8" t="s">
        <v>33</v>
      </c>
      <c r="D140" s="8" t="s">
        <v>34</v>
      </c>
      <c r="E140" s="8" t="s">
        <v>61</v>
      </c>
      <c r="F140" s="8">
        <v>17</v>
      </c>
      <c r="G140" s="8">
        <v>28839</v>
      </c>
      <c r="H140" s="8">
        <v>10</v>
      </c>
      <c r="I140" s="9">
        <v>46093</v>
      </c>
      <c r="J140" s="9">
        <v>46099</v>
      </c>
      <c r="K140" s="8" t="s">
        <v>15</v>
      </c>
      <c r="L140">
        <f t="shared" si="4"/>
        <v>441236.7</v>
      </c>
      <c r="M140" t="str">
        <f t="shared" si="5"/>
        <v>Excellent</v>
      </c>
    </row>
    <row r="141" spans="1:13" x14ac:dyDescent="0.3">
      <c r="A141" s="8">
        <v>1140</v>
      </c>
      <c r="B141" s="8" t="s">
        <v>57</v>
      </c>
      <c r="C141" s="8" t="s">
        <v>38</v>
      </c>
      <c r="D141" s="8" t="s">
        <v>34</v>
      </c>
      <c r="E141" s="8" t="s">
        <v>41</v>
      </c>
      <c r="F141" s="8">
        <v>5</v>
      </c>
      <c r="G141" s="8">
        <v>68012</v>
      </c>
      <c r="H141" s="8">
        <v>5</v>
      </c>
      <c r="I141" s="9">
        <v>46061</v>
      </c>
      <c r="J141" s="9">
        <v>46065</v>
      </c>
      <c r="K141" s="8" t="s">
        <v>15</v>
      </c>
      <c r="L141">
        <f t="shared" si="4"/>
        <v>323057</v>
      </c>
      <c r="M141" t="str">
        <f t="shared" si="5"/>
        <v>Average</v>
      </c>
    </row>
    <row r="142" spans="1:13" x14ac:dyDescent="0.3">
      <c r="A142" s="8">
        <v>1141</v>
      </c>
      <c r="B142" s="8" t="s">
        <v>11</v>
      </c>
      <c r="C142" s="8" t="s">
        <v>17</v>
      </c>
      <c r="D142" s="8" t="s">
        <v>18</v>
      </c>
      <c r="E142" s="8" t="s">
        <v>44</v>
      </c>
      <c r="F142" s="8">
        <v>20</v>
      </c>
      <c r="G142" s="8">
        <v>6835</v>
      </c>
      <c r="H142" s="8">
        <v>2</v>
      </c>
      <c r="I142" s="9">
        <v>46043</v>
      </c>
      <c r="J142" s="9">
        <v>46053</v>
      </c>
      <c r="K142" s="8" t="s">
        <v>15</v>
      </c>
      <c r="L142">
        <f t="shared" si="4"/>
        <v>133966</v>
      </c>
      <c r="M142" t="str">
        <f t="shared" si="5"/>
        <v>Average</v>
      </c>
    </row>
    <row r="143" spans="1:13" x14ac:dyDescent="0.3">
      <c r="A143" s="8">
        <v>1142</v>
      </c>
      <c r="B143" s="8" t="s">
        <v>40</v>
      </c>
      <c r="C143" s="8" t="s">
        <v>25</v>
      </c>
      <c r="D143" s="8" t="s">
        <v>34</v>
      </c>
      <c r="E143" s="8" t="s">
        <v>60</v>
      </c>
      <c r="F143" s="8">
        <v>9</v>
      </c>
      <c r="G143" s="8">
        <v>59788</v>
      </c>
      <c r="H143" s="8">
        <v>7</v>
      </c>
      <c r="I143" s="9">
        <v>46064</v>
      </c>
      <c r="J143" s="9">
        <v>46071</v>
      </c>
      <c r="K143" s="8" t="s">
        <v>29</v>
      </c>
      <c r="L143">
        <f t="shared" si="4"/>
        <v>500425.55999999994</v>
      </c>
      <c r="M143" t="str">
        <f t="shared" si="5"/>
        <v>Average</v>
      </c>
    </row>
    <row r="144" spans="1:13" x14ac:dyDescent="0.3">
      <c r="A144" s="8">
        <v>1143</v>
      </c>
      <c r="B144" s="8" t="s">
        <v>29</v>
      </c>
      <c r="C144" s="8" t="s">
        <v>17</v>
      </c>
      <c r="D144" s="8" t="s">
        <v>13</v>
      </c>
      <c r="E144" s="8" t="s">
        <v>37</v>
      </c>
      <c r="F144" s="8">
        <v>13</v>
      </c>
      <c r="G144" s="8">
        <v>456</v>
      </c>
      <c r="H144" s="8">
        <v>2</v>
      </c>
      <c r="I144" s="9">
        <v>46160</v>
      </c>
      <c r="J144" s="9">
        <v>46167</v>
      </c>
      <c r="K144" s="8" t="s">
        <v>24</v>
      </c>
      <c r="L144">
        <f t="shared" si="4"/>
        <v>5809.44</v>
      </c>
      <c r="M144" t="str">
        <f t="shared" si="5"/>
        <v>Average</v>
      </c>
    </row>
    <row r="145" spans="1:13" x14ac:dyDescent="0.3">
      <c r="A145" s="8">
        <v>1144</v>
      </c>
      <c r="B145" s="8" t="s">
        <v>42</v>
      </c>
      <c r="C145" s="8" t="s">
        <v>25</v>
      </c>
      <c r="D145" s="8" t="s">
        <v>13</v>
      </c>
      <c r="E145" s="8" t="s">
        <v>14</v>
      </c>
      <c r="F145" s="8">
        <v>16</v>
      </c>
      <c r="G145" s="8">
        <v>219</v>
      </c>
      <c r="H145" s="8">
        <v>7</v>
      </c>
      <c r="I145" s="9">
        <v>46138</v>
      </c>
      <c r="J145" s="9">
        <v>46140</v>
      </c>
      <c r="K145" s="8" t="s">
        <v>20</v>
      </c>
      <c r="L145">
        <f t="shared" si="4"/>
        <v>3258.72</v>
      </c>
      <c r="M145" t="str">
        <f t="shared" si="5"/>
        <v>Excellent</v>
      </c>
    </row>
    <row r="146" spans="1:13" x14ac:dyDescent="0.3">
      <c r="A146" s="8">
        <v>1145</v>
      </c>
      <c r="B146" s="8" t="s">
        <v>42</v>
      </c>
      <c r="C146" s="8" t="s">
        <v>33</v>
      </c>
      <c r="D146" s="8" t="s">
        <v>34</v>
      </c>
      <c r="E146" s="8" t="s">
        <v>39</v>
      </c>
      <c r="F146" s="8">
        <v>2</v>
      </c>
      <c r="G146" s="8">
        <v>34429</v>
      </c>
      <c r="H146" s="8">
        <v>12</v>
      </c>
      <c r="I146" s="9">
        <v>46102</v>
      </c>
      <c r="J146" s="9">
        <v>46112</v>
      </c>
      <c r="K146" s="8" t="s">
        <v>24</v>
      </c>
      <c r="L146">
        <f t="shared" si="4"/>
        <v>60595.040000000001</v>
      </c>
      <c r="M146" t="str">
        <f t="shared" si="5"/>
        <v>Excellent</v>
      </c>
    </row>
    <row r="147" spans="1:13" x14ac:dyDescent="0.3">
      <c r="A147" s="8">
        <v>1146</v>
      </c>
      <c r="B147" s="8" t="s">
        <v>16</v>
      </c>
      <c r="C147" s="8" t="s">
        <v>43</v>
      </c>
      <c r="D147" s="8" t="s">
        <v>34</v>
      </c>
      <c r="E147" s="8" t="s">
        <v>45</v>
      </c>
      <c r="F147" s="8">
        <v>7</v>
      </c>
      <c r="G147" s="8">
        <v>68217</v>
      </c>
      <c r="H147" s="8">
        <v>0</v>
      </c>
      <c r="I147" s="9">
        <v>46190</v>
      </c>
      <c r="J147" s="9">
        <v>46197</v>
      </c>
      <c r="K147" s="8" t="s">
        <v>29</v>
      </c>
      <c r="L147">
        <f t="shared" si="4"/>
        <v>477519</v>
      </c>
      <c r="M147" t="str">
        <f t="shared" si="5"/>
        <v>Excellent</v>
      </c>
    </row>
    <row r="148" spans="1:13" x14ac:dyDescent="0.3">
      <c r="A148" s="8">
        <v>1147</v>
      </c>
      <c r="B148" s="8" t="s">
        <v>11</v>
      </c>
      <c r="C148" s="8" t="s">
        <v>22</v>
      </c>
      <c r="D148" s="8" t="s">
        <v>18</v>
      </c>
      <c r="E148" s="8" t="s">
        <v>28</v>
      </c>
      <c r="F148" s="8">
        <v>7</v>
      </c>
      <c r="G148" s="8">
        <v>9581</v>
      </c>
      <c r="H148" s="8">
        <v>5</v>
      </c>
      <c r="I148" s="9">
        <v>46154</v>
      </c>
      <c r="J148" s="9">
        <v>46155</v>
      </c>
      <c r="K148" s="8" t="s">
        <v>20</v>
      </c>
      <c r="L148">
        <f t="shared" si="4"/>
        <v>63713.649999999994</v>
      </c>
      <c r="M148" t="str">
        <f t="shared" si="5"/>
        <v>Average</v>
      </c>
    </row>
    <row r="149" spans="1:13" x14ac:dyDescent="0.3">
      <c r="A149" s="8">
        <v>1148</v>
      </c>
      <c r="B149" s="8" t="s">
        <v>59</v>
      </c>
      <c r="C149" s="8" t="s">
        <v>33</v>
      </c>
      <c r="D149" s="8" t="s">
        <v>18</v>
      </c>
      <c r="E149" s="8" t="s">
        <v>28</v>
      </c>
      <c r="F149" s="8">
        <v>11</v>
      </c>
      <c r="G149" s="8">
        <v>3023</v>
      </c>
      <c r="H149" s="8">
        <v>7</v>
      </c>
      <c r="I149" s="9">
        <v>46030</v>
      </c>
      <c r="J149" s="9">
        <v>46032</v>
      </c>
      <c r="K149" s="8" t="s">
        <v>24</v>
      </c>
      <c r="L149">
        <f t="shared" si="4"/>
        <v>30925.289999999997</v>
      </c>
      <c r="M149" t="str">
        <f t="shared" si="5"/>
        <v>Excellent</v>
      </c>
    </row>
    <row r="150" spans="1:13" x14ac:dyDescent="0.3">
      <c r="A150" s="8">
        <v>1149</v>
      </c>
      <c r="B150" s="8" t="s">
        <v>26</v>
      </c>
      <c r="C150" s="8" t="s">
        <v>38</v>
      </c>
      <c r="D150" s="8" t="s">
        <v>34</v>
      </c>
      <c r="E150" s="8" t="s">
        <v>35</v>
      </c>
      <c r="F150" s="8">
        <v>10</v>
      </c>
      <c r="G150" s="8">
        <v>22853</v>
      </c>
      <c r="H150" s="8">
        <v>7</v>
      </c>
      <c r="I150" s="9">
        <v>46053</v>
      </c>
      <c r="J150" s="9">
        <v>46054</v>
      </c>
      <c r="K150" s="8" t="s">
        <v>29</v>
      </c>
      <c r="L150">
        <f t="shared" si="4"/>
        <v>212532.9</v>
      </c>
      <c r="M150" t="str">
        <f t="shared" si="5"/>
        <v>Excellent</v>
      </c>
    </row>
    <row r="151" spans="1:13" x14ac:dyDescent="0.3">
      <c r="A151" s="8">
        <v>1150</v>
      </c>
      <c r="B151" s="8" t="s">
        <v>42</v>
      </c>
      <c r="C151" s="8" t="s">
        <v>12</v>
      </c>
      <c r="D151" s="8" t="s">
        <v>18</v>
      </c>
      <c r="E151" s="8" t="s">
        <v>56</v>
      </c>
      <c r="F151" s="8">
        <v>10</v>
      </c>
      <c r="G151" s="8">
        <v>5323</v>
      </c>
      <c r="H151" s="8">
        <v>7</v>
      </c>
      <c r="I151" s="9">
        <v>46143</v>
      </c>
      <c r="J151" s="9">
        <v>46153</v>
      </c>
      <c r="K151" s="8" t="s">
        <v>24</v>
      </c>
      <c r="L151">
        <f t="shared" si="4"/>
        <v>49503.899999999994</v>
      </c>
      <c r="M151" t="str">
        <f t="shared" si="5"/>
        <v>Average</v>
      </c>
    </row>
    <row r="152" spans="1:13" x14ac:dyDescent="0.3">
      <c r="A152" s="8">
        <v>1151</v>
      </c>
      <c r="B152" s="8" t="s">
        <v>46</v>
      </c>
      <c r="C152" s="8" t="s">
        <v>43</v>
      </c>
      <c r="D152" s="8" t="s">
        <v>13</v>
      </c>
      <c r="E152" s="8" t="s">
        <v>50</v>
      </c>
      <c r="F152" s="8">
        <v>20</v>
      </c>
      <c r="G152" s="8">
        <v>272</v>
      </c>
      <c r="H152" s="8">
        <v>15</v>
      </c>
      <c r="I152" s="9">
        <v>46024</v>
      </c>
      <c r="J152" s="9">
        <v>46029</v>
      </c>
      <c r="K152" s="8" t="s">
        <v>51</v>
      </c>
      <c r="L152">
        <f t="shared" si="4"/>
        <v>4624</v>
      </c>
      <c r="M152" t="str">
        <f t="shared" si="5"/>
        <v>Excellent</v>
      </c>
    </row>
    <row r="153" spans="1:13" x14ac:dyDescent="0.3">
      <c r="A153" s="8">
        <v>1152</v>
      </c>
      <c r="B153" s="8" t="s">
        <v>27</v>
      </c>
      <c r="C153" s="8" t="s">
        <v>31</v>
      </c>
      <c r="D153" s="8" t="s">
        <v>34</v>
      </c>
      <c r="E153" s="8" t="s">
        <v>61</v>
      </c>
      <c r="F153" s="8">
        <v>14</v>
      </c>
      <c r="G153" s="8">
        <v>8150</v>
      </c>
      <c r="H153" s="8">
        <v>10</v>
      </c>
      <c r="I153" s="9">
        <v>46062</v>
      </c>
      <c r="J153" s="9">
        <v>46070</v>
      </c>
      <c r="K153" s="8" t="s">
        <v>15</v>
      </c>
      <c r="L153">
        <f t="shared" si="4"/>
        <v>102690</v>
      </c>
      <c r="M153" t="str">
        <f t="shared" si="5"/>
        <v>Excellent</v>
      </c>
    </row>
    <row r="154" spans="1:13" x14ac:dyDescent="0.3">
      <c r="A154" s="8">
        <v>1153</v>
      </c>
      <c r="B154" s="8" t="s">
        <v>42</v>
      </c>
      <c r="C154" s="8" t="s">
        <v>25</v>
      </c>
      <c r="D154" s="8" t="s">
        <v>18</v>
      </c>
      <c r="E154" s="8" t="s">
        <v>23</v>
      </c>
      <c r="F154" s="8">
        <v>19</v>
      </c>
      <c r="G154" s="8">
        <v>10273</v>
      </c>
      <c r="H154" s="8">
        <v>12</v>
      </c>
      <c r="I154" s="9">
        <v>46069</v>
      </c>
      <c r="J154" s="9">
        <v>46072</v>
      </c>
      <c r="K154" s="8" t="s">
        <v>29</v>
      </c>
      <c r="L154">
        <f t="shared" si="4"/>
        <v>171764.56</v>
      </c>
      <c r="M154" t="str">
        <f t="shared" si="5"/>
        <v>Average</v>
      </c>
    </row>
    <row r="155" spans="1:13" x14ac:dyDescent="0.3">
      <c r="A155" s="8">
        <v>1154</v>
      </c>
      <c r="B155" s="8" t="s">
        <v>32</v>
      </c>
      <c r="C155" s="8" t="s">
        <v>17</v>
      </c>
      <c r="D155" s="8" t="s">
        <v>18</v>
      </c>
      <c r="E155" s="8" t="s">
        <v>56</v>
      </c>
      <c r="F155" s="8">
        <v>15</v>
      </c>
      <c r="G155" s="8">
        <v>6101</v>
      </c>
      <c r="H155" s="8">
        <v>0</v>
      </c>
      <c r="I155" s="9">
        <v>46178</v>
      </c>
      <c r="J155" s="9">
        <v>46183</v>
      </c>
      <c r="K155" s="8" t="s">
        <v>51</v>
      </c>
      <c r="L155">
        <f t="shared" si="4"/>
        <v>91515</v>
      </c>
      <c r="M155" t="str">
        <f t="shared" si="5"/>
        <v>Average</v>
      </c>
    </row>
    <row r="156" spans="1:13" x14ac:dyDescent="0.3">
      <c r="A156" s="8">
        <v>1155</v>
      </c>
      <c r="B156" s="8" t="s">
        <v>11</v>
      </c>
      <c r="C156" s="8" t="s">
        <v>31</v>
      </c>
      <c r="D156" s="8" t="s">
        <v>18</v>
      </c>
      <c r="E156" s="8" t="s">
        <v>28</v>
      </c>
      <c r="F156" s="8">
        <v>13</v>
      </c>
      <c r="G156" s="8">
        <v>4341</v>
      </c>
      <c r="H156" s="8">
        <v>15</v>
      </c>
      <c r="I156" s="9">
        <v>46093</v>
      </c>
      <c r="J156" s="9">
        <v>46096</v>
      </c>
      <c r="K156" s="8" t="s">
        <v>24</v>
      </c>
      <c r="L156">
        <f t="shared" si="4"/>
        <v>47968.049999999996</v>
      </c>
      <c r="M156" t="str">
        <f t="shared" si="5"/>
        <v>Excellent</v>
      </c>
    </row>
    <row r="157" spans="1:13" x14ac:dyDescent="0.3">
      <c r="A157" s="8">
        <v>1156</v>
      </c>
      <c r="B157" s="8" t="s">
        <v>54</v>
      </c>
      <c r="C157" s="8" t="s">
        <v>38</v>
      </c>
      <c r="D157" s="8" t="s">
        <v>13</v>
      </c>
      <c r="E157" s="8" t="s">
        <v>36</v>
      </c>
      <c r="F157" s="8">
        <v>5</v>
      </c>
      <c r="G157" s="8">
        <v>466</v>
      </c>
      <c r="H157" s="8">
        <v>15</v>
      </c>
      <c r="I157" s="9">
        <v>46025</v>
      </c>
      <c r="J157" s="9">
        <v>46029</v>
      </c>
      <c r="K157" s="8" t="s">
        <v>15</v>
      </c>
      <c r="L157">
        <f t="shared" si="4"/>
        <v>1980.5</v>
      </c>
      <c r="M157" t="str">
        <f t="shared" si="5"/>
        <v>Excellent</v>
      </c>
    </row>
    <row r="158" spans="1:13" x14ac:dyDescent="0.3">
      <c r="A158" s="8">
        <v>1157</v>
      </c>
      <c r="B158" s="8" t="s">
        <v>52</v>
      </c>
      <c r="C158" s="8" t="s">
        <v>33</v>
      </c>
      <c r="D158" s="8" t="s">
        <v>13</v>
      </c>
      <c r="E158" s="8" t="s">
        <v>50</v>
      </c>
      <c r="F158" s="8">
        <v>3</v>
      </c>
      <c r="G158" s="8">
        <v>203</v>
      </c>
      <c r="H158" s="8">
        <v>15</v>
      </c>
      <c r="I158" s="9">
        <v>46076</v>
      </c>
      <c r="J158" s="9">
        <v>46080</v>
      </c>
      <c r="K158" s="8" t="s">
        <v>29</v>
      </c>
      <c r="L158">
        <f t="shared" si="4"/>
        <v>517.65</v>
      </c>
      <c r="M158" t="str">
        <f t="shared" si="5"/>
        <v>Excellent</v>
      </c>
    </row>
    <row r="159" spans="1:13" x14ac:dyDescent="0.3">
      <c r="A159" s="8">
        <v>1158</v>
      </c>
      <c r="B159" s="8" t="s">
        <v>26</v>
      </c>
      <c r="C159" s="8" t="s">
        <v>38</v>
      </c>
      <c r="D159" s="8" t="s">
        <v>34</v>
      </c>
      <c r="E159" s="8" t="s">
        <v>41</v>
      </c>
      <c r="F159" s="8">
        <v>13</v>
      </c>
      <c r="G159" s="8">
        <v>12518</v>
      </c>
      <c r="H159" s="8">
        <v>2</v>
      </c>
      <c r="I159" s="9">
        <v>46079</v>
      </c>
      <c r="J159" s="9">
        <v>46082</v>
      </c>
      <c r="K159" s="8" t="s">
        <v>51</v>
      </c>
      <c r="L159">
        <f t="shared" si="4"/>
        <v>159479.32</v>
      </c>
      <c r="M159" t="str">
        <f t="shared" si="5"/>
        <v>Excellent</v>
      </c>
    </row>
    <row r="160" spans="1:13" x14ac:dyDescent="0.3">
      <c r="A160" s="8">
        <v>1159</v>
      </c>
      <c r="B160" s="8" t="s">
        <v>32</v>
      </c>
      <c r="C160" s="8" t="s">
        <v>43</v>
      </c>
      <c r="D160" s="8" t="s">
        <v>18</v>
      </c>
      <c r="E160" s="8" t="s">
        <v>28</v>
      </c>
      <c r="F160" s="8">
        <v>20</v>
      </c>
      <c r="G160" s="8">
        <v>14000</v>
      </c>
      <c r="H160" s="8">
        <v>15</v>
      </c>
      <c r="I160" s="9">
        <v>46184</v>
      </c>
      <c r="J160" s="9">
        <v>46187</v>
      </c>
      <c r="K160" s="8" t="s">
        <v>15</v>
      </c>
      <c r="L160">
        <f t="shared" si="4"/>
        <v>238000</v>
      </c>
      <c r="M160" t="str">
        <f t="shared" si="5"/>
        <v>Average</v>
      </c>
    </row>
    <row r="161" spans="1:13" x14ac:dyDescent="0.3">
      <c r="A161" s="8">
        <v>1160</v>
      </c>
      <c r="B161" s="8" t="s">
        <v>59</v>
      </c>
      <c r="C161" s="8" t="s">
        <v>22</v>
      </c>
      <c r="D161" s="8" t="s">
        <v>34</v>
      </c>
      <c r="E161" s="8" t="s">
        <v>39</v>
      </c>
      <c r="F161" s="8">
        <v>7</v>
      </c>
      <c r="G161" s="8">
        <v>53986</v>
      </c>
      <c r="H161" s="8">
        <v>10</v>
      </c>
      <c r="I161" s="9">
        <v>46142</v>
      </c>
      <c r="J161" s="9">
        <v>46147</v>
      </c>
      <c r="K161" s="8" t="s">
        <v>51</v>
      </c>
      <c r="L161">
        <f t="shared" si="4"/>
        <v>340111.8</v>
      </c>
      <c r="M161" t="str">
        <f t="shared" si="5"/>
        <v>Average</v>
      </c>
    </row>
    <row r="162" spans="1:13" x14ac:dyDescent="0.3">
      <c r="A162" s="8">
        <v>1161</v>
      </c>
      <c r="B162" s="8" t="s">
        <v>27</v>
      </c>
      <c r="C162" s="8" t="s">
        <v>25</v>
      </c>
      <c r="D162" s="8" t="s">
        <v>34</v>
      </c>
      <c r="E162" s="8" t="s">
        <v>39</v>
      </c>
      <c r="F162" s="8">
        <v>4</v>
      </c>
      <c r="G162" s="8">
        <v>54659</v>
      </c>
      <c r="H162" s="8">
        <v>7</v>
      </c>
      <c r="I162" s="9">
        <v>46105</v>
      </c>
      <c r="J162" s="9">
        <v>46109</v>
      </c>
      <c r="K162" s="8" t="s">
        <v>20</v>
      </c>
      <c r="L162">
        <f t="shared" si="4"/>
        <v>203331.47999999998</v>
      </c>
      <c r="M162" t="str">
        <f t="shared" si="5"/>
        <v>Average</v>
      </c>
    </row>
    <row r="163" spans="1:13" x14ac:dyDescent="0.3">
      <c r="A163" s="8">
        <v>1162</v>
      </c>
      <c r="B163" s="8" t="s">
        <v>57</v>
      </c>
      <c r="C163" s="8" t="s">
        <v>31</v>
      </c>
      <c r="D163" s="8" t="s">
        <v>34</v>
      </c>
      <c r="E163" s="8" t="s">
        <v>45</v>
      </c>
      <c r="F163" s="8">
        <v>2</v>
      </c>
      <c r="G163" s="8">
        <v>28176</v>
      </c>
      <c r="H163" s="8">
        <v>10</v>
      </c>
      <c r="I163" s="9">
        <v>46100</v>
      </c>
      <c r="J163" s="9">
        <v>46101</v>
      </c>
      <c r="K163" s="8" t="s">
        <v>20</v>
      </c>
      <c r="L163">
        <f t="shared" si="4"/>
        <v>50716.800000000003</v>
      </c>
      <c r="M163" t="str">
        <f t="shared" si="5"/>
        <v>Average</v>
      </c>
    </row>
    <row r="164" spans="1:13" x14ac:dyDescent="0.3">
      <c r="A164" s="8">
        <v>1163</v>
      </c>
      <c r="B164" s="8" t="s">
        <v>29</v>
      </c>
      <c r="C164" s="8" t="s">
        <v>38</v>
      </c>
      <c r="D164" s="8" t="s">
        <v>34</v>
      </c>
      <c r="E164" s="8" t="s">
        <v>39</v>
      </c>
      <c r="F164" s="8">
        <v>9</v>
      </c>
      <c r="G164" s="8">
        <v>62440</v>
      </c>
      <c r="H164" s="8">
        <v>2</v>
      </c>
      <c r="I164" s="9">
        <v>46081</v>
      </c>
      <c r="J164" s="9">
        <v>46086</v>
      </c>
      <c r="K164" s="8" t="s">
        <v>29</v>
      </c>
      <c r="L164">
        <f t="shared" si="4"/>
        <v>550720.80000000005</v>
      </c>
      <c r="M164" t="str">
        <f t="shared" si="5"/>
        <v>Excellent</v>
      </c>
    </row>
    <row r="165" spans="1:13" x14ac:dyDescent="0.3">
      <c r="A165" s="8">
        <v>1164</v>
      </c>
      <c r="B165" s="8" t="s">
        <v>40</v>
      </c>
      <c r="C165" s="8" t="s">
        <v>43</v>
      </c>
      <c r="D165" s="8" t="s">
        <v>34</v>
      </c>
      <c r="E165" s="8" t="s">
        <v>61</v>
      </c>
      <c r="F165" s="8">
        <v>7</v>
      </c>
      <c r="G165" s="8">
        <v>24615</v>
      </c>
      <c r="H165" s="8">
        <v>12</v>
      </c>
      <c r="I165" s="9">
        <v>46196</v>
      </c>
      <c r="J165" s="9">
        <v>46203</v>
      </c>
      <c r="K165" s="8" t="s">
        <v>51</v>
      </c>
      <c r="L165">
        <f t="shared" si="4"/>
        <v>151628.4</v>
      </c>
      <c r="M165" t="str">
        <f t="shared" si="5"/>
        <v>Average</v>
      </c>
    </row>
    <row r="166" spans="1:13" x14ac:dyDescent="0.3">
      <c r="A166" s="8">
        <v>1165</v>
      </c>
      <c r="B166" s="8" t="s">
        <v>48</v>
      </c>
      <c r="C166" s="8" t="s">
        <v>25</v>
      </c>
      <c r="D166" s="8" t="s">
        <v>13</v>
      </c>
      <c r="E166" s="8" t="s">
        <v>37</v>
      </c>
      <c r="F166" s="8">
        <v>1</v>
      </c>
      <c r="G166" s="8">
        <v>427</v>
      </c>
      <c r="H166" s="8">
        <v>0</v>
      </c>
      <c r="I166" s="9">
        <v>46042</v>
      </c>
      <c r="J166" s="9">
        <v>46050</v>
      </c>
      <c r="K166" s="8" t="s">
        <v>51</v>
      </c>
      <c r="L166">
        <f t="shared" si="4"/>
        <v>427</v>
      </c>
      <c r="M166" t="str">
        <f t="shared" si="5"/>
        <v>Average</v>
      </c>
    </row>
    <row r="167" spans="1:13" x14ac:dyDescent="0.3">
      <c r="A167" s="8">
        <v>1166</v>
      </c>
      <c r="B167" s="8" t="s">
        <v>32</v>
      </c>
      <c r="C167" s="8" t="s">
        <v>31</v>
      </c>
      <c r="D167" s="8" t="s">
        <v>13</v>
      </c>
      <c r="E167" s="8" t="s">
        <v>37</v>
      </c>
      <c r="F167" s="8">
        <v>1</v>
      </c>
      <c r="G167" s="8">
        <v>396</v>
      </c>
      <c r="H167" s="8">
        <v>5</v>
      </c>
      <c r="I167" s="9">
        <v>46092</v>
      </c>
      <c r="J167" s="9">
        <v>46093</v>
      </c>
      <c r="K167" s="8" t="s">
        <v>20</v>
      </c>
      <c r="L167">
        <f t="shared" si="4"/>
        <v>376.2</v>
      </c>
      <c r="M167" t="str">
        <f t="shared" si="5"/>
        <v>Excellent</v>
      </c>
    </row>
    <row r="168" spans="1:13" x14ac:dyDescent="0.3">
      <c r="A168" s="8">
        <v>1167</v>
      </c>
      <c r="B168" s="8" t="s">
        <v>48</v>
      </c>
      <c r="C168" s="8" t="s">
        <v>17</v>
      </c>
      <c r="D168" s="8" t="s">
        <v>13</v>
      </c>
      <c r="E168" s="8" t="s">
        <v>37</v>
      </c>
      <c r="F168" s="8">
        <v>20</v>
      </c>
      <c r="G168" s="8">
        <v>251</v>
      </c>
      <c r="H168" s="8">
        <v>5</v>
      </c>
      <c r="I168" s="9">
        <v>46160</v>
      </c>
      <c r="J168" s="9">
        <v>46170</v>
      </c>
      <c r="K168" s="8" t="s">
        <v>29</v>
      </c>
      <c r="L168">
        <f t="shared" si="4"/>
        <v>4769</v>
      </c>
      <c r="M168" t="str">
        <f t="shared" si="5"/>
        <v>Excellent</v>
      </c>
    </row>
    <row r="169" spans="1:13" x14ac:dyDescent="0.3">
      <c r="A169" s="8">
        <v>1168</v>
      </c>
      <c r="B169" s="8" t="s">
        <v>54</v>
      </c>
      <c r="C169" s="8" t="s">
        <v>12</v>
      </c>
      <c r="D169" s="8" t="s">
        <v>13</v>
      </c>
      <c r="E169" s="8" t="s">
        <v>37</v>
      </c>
      <c r="F169" s="8">
        <v>18</v>
      </c>
      <c r="G169" s="8">
        <v>335</v>
      </c>
      <c r="H169" s="8">
        <v>15</v>
      </c>
      <c r="I169" s="9">
        <v>46130</v>
      </c>
      <c r="J169" s="9">
        <v>46140</v>
      </c>
      <c r="K169" s="8" t="s">
        <v>29</v>
      </c>
      <c r="L169">
        <f t="shared" si="4"/>
        <v>5125.5</v>
      </c>
      <c r="M169" t="str">
        <f t="shared" si="5"/>
        <v>Excellent</v>
      </c>
    </row>
    <row r="170" spans="1:13" x14ac:dyDescent="0.3">
      <c r="A170" s="8">
        <v>1169</v>
      </c>
      <c r="B170" s="8" t="s">
        <v>47</v>
      </c>
      <c r="C170" s="8" t="s">
        <v>12</v>
      </c>
      <c r="D170" s="8" t="s">
        <v>18</v>
      </c>
      <c r="E170" s="8" t="s">
        <v>56</v>
      </c>
      <c r="F170" s="8">
        <v>12</v>
      </c>
      <c r="G170" s="8">
        <v>12104</v>
      </c>
      <c r="H170" s="8">
        <v>7</v>
      </c>
      <c r="I170" s="9">
        <v>46121</v>
      </c>
      <c r="J170" s="9">
        <v>46130</v>
      </c>
      <c r="K170" s="8" t="s">
        <v>24</v>
      </c>
      <c r="L170">
        <f t="shared" si="4"/>
        <v>135080.63999999998</v>
      </c>
      <c r="M170" t="str">
        <f t="shared" si="5"/>
        <v>Excellent</v>
      </c>
    </row>
    <row r="171" spans="1:13" x14ac:dyDescent="0.3">
      <c r="A171" s="8">
        <v>1170</v>
      </c>
      <c r="B171" s="8" t="s">
        <v>49</v>
      </c>
      <c r="C171" s="8" t="s">
        <v>38</v>
      </c>
      <c r="D171" s="8" t="s">
        <v>13</v>
      </c>
      <c r="E171" s="8" t="s">
        <v>14</v>
      </c>
      <c r="F171" s="8">
        <v>6</v>
      </c>
      <c r="G171" s="8">
        <v>339</v>
      </c>
      <c r="H171" s="8">
        <v>12</v>
      </c>
      <c r="I171" s="9">
        <v>46105</v>
      </c>
      <c r="J171" s="9">
        <v>46106</v>
      </c>
      <c r="K171" s="8" t="s">
        <v>24</v>
      </c>
      <c r="L171">
        <f t="shared" si="4"/>
        <v>1789.92</v>
      </c>
      <c r="M171" t="str">
        <f t="shared" si="5"/>
        <v>Average</v>
      </c>
    </row>
    <row r="172" spans="1:13" x14ac:dyDescent="0.3">
      <c r="A172" s="8">
        <v>1171</v>
      </c>
      <c r="B172" s="8" t="s">
        <v>57</v>
      </c>
      <c r="C172" s="8" t="s">
        <v>25</v>
      </c>
      <c r="D172" s="8" t="s">
        <v>13</v>
      </c>
      <c r="E172" s="8" t="s">
        <v>50</v>
      </c>
      <c r="F172" s="8">
        <v>17</v>
      </c>
      <c r="G172" s="8">
        <v>147</v>
      </c>
      <c r="H172" s="8">
        <v>12</v>
      </c>
      <c r="I172" s="9">
        <v>46155</v>
      </c>
      <c r="J172" s="9">
        <v>46160</v>
      </c>
      <c r="K172" s="8" t="s">
        <v>20</v>
      </c>
      <c r="L172">
        <f t="shared" si="4"/>
        <v>2199.12</v>
      </c>
      <c r="M172" t="str">
        <f t="shared" si="5"/>
        <v>Excellent</v>
      </c>
    </row>
    <row r="173" spans="1:13" x14ac:dyDescent="0.3">
      <c r="A173" s="8">
        <v>1172</v>
      </c>
      <c r="B173" s="8" t="s">
        <v>16</v>
      </c>
      <c r="C173" s="8" t="s">
        <v>12</v>
      </c>
      <c r="D173" s="8" t="s">
        <v>34</v>
      </c>
      <c r="E173" s="8" t="s">
        <v>45</v>
      </c>
      <c r="F173" s="8">
        <v>13</v>
      </c>
      <c r="G173" s="8">
        <v>43163</v>
      </c>
      <c r="H173" s="8">
        <v>12</v>
      </c>
      <c r="I173" s="9">
        <v>46120</v>
      </c>
      <c r="J173" s="9">
        <v>46129</v>
      </c>
      <c r="K173" s="8" t="s">
        <v>24</v>
      </c>
      <c r="L173">
        <f t="shared" si="4"/>
        <v>493784.72000000003</v>
      </c>
      <c r="M173" t="str">
        <f t="shared" si="5"/>
        <v>Excellent</v>
      </c>
    </row>
    <row r="174" spans="1:13" x14ac:dyDescent="0.3">
      <c r="A174" s="8">
        <v>1173</v>
      </c>
      <c r="B174" s="8" t="s">
        <v>40</v>
      </c>
      <c r="C174" s="8" t="s">
        <v>17</v>
      </c>
      <c r="D174" s="8" t="s">
        <v>13</v>
      </c>
      <c r="E174" s="8" t="s">
        <v>37</v>
      </c>
      <c r="F174" s="8">
        <v>15</v>
      </c>
      <c r="G174" s="8">
        <v>214</v>
      </c>
      <c r="H174" s="8">
        <v>10</v>
      </c>
      <c r="I174" s="9">
        <v>46050</v>
      </c>
      <c r="J174" s="9">
        <v>46060</v>
      </c>
      <c r="K174" s="8" t="s">
        <v>51</v>
      </c>
      <c r="L174">
        <f t="shared" si="4"/>
        <v>2889</v>
      </c>
      <c r="M174" t="str">
        <f t="shared" si="5"/>
        <v>Average</v>
      </c>
    </row>
    <row r="175" spans="1:13" x14ac:dyDescent="0.3">
      <c r="A175" s="8">
        <v>1174</v>
      </c>
      <c r="B175" s="8" t="s">
        <v>58</v>
      </c>
      <c r="C175" s="8" t="s">
        <v>38</v>
      </c>
      <c r="D175" s="8" t="s">
        <v>13</v>
      </c>
      <c r="E175" s="8" t="s">
        <v>14</v>
      </c>
      <c r="F175" s="8">
        <v>13</v>
      </c>
      <c r="G175" s="8">
        <v>155</v>
      </c>
      <c r="H175" s="8">
        <v>2</v>
      </c>
      <c r="I175" s="9">
        <v>46066</v>
      </c>
      <c r="J175" s="9">
        <v>46069</v>
      </c>
      <c r="K175" s="8" t="s">
        <v>24</v>
      </c>
      <c r="L175">
        <f t="shared" si="4"/>
        <v>1974.7</v>
      </c>
      <c r="M175" t="str">
        <f t="shared" si="5"/>
        <v>Excellent</v>
      </c>
    </row>
    <row r="176" spans="1:13" x14ac:dyDescent="0.3">
      <c r="A176" s="8">
        <v>1175</v>
      </c>
      <c r="B176" s="8" t="s">
        <v>26</v>
      </c>
      <c r="C176" s="8" t="s">
        <v>17</v>
      </c>
      <c r="D176" s="8" t="s">
        <v>34</v>
      </c>
      <c r="E176" s="8" t="s">
        <v>41</v>
      </c>
      <c r="F176" s="8">
        <v>10</v>
      </c>
      <c r="G176" s="8">
        <v>20339</v>
      </c>
      <c r="H176" s="8">
        <v>2</v>
      </c>
      <c r="I176" s="9">
        <v>46088</v>
      </c>
      <c r="J176" s="9">
        <v>46094</v>
      </c>
      <c r="K176" s="8" t="s">
        <v>20</v>
      </c>
      <c r="L176">
        <f t="shared" si="4"/>
        <v>199322.19999999998</v>
      </c>
      <c r="M176" t="str">
        <f t="shared" si="5"/>
        <v>Excellent</v>
      </c>
    </row>
    <row r="177" spans="1:13" x14ac:dyDescent="0.3">
      <c r="A177" s="8">
        <v>1176</v>
      </c>
      <c r="B177" s="8" t="s">
        <v>58</v>
      </c>
      <c r="C177" s="8" t="s">
        <v>38</v>
      </c>
      <c r="D177" s="8" t="s">
        <v>34</v>
      </c>
      <c r="E177" s="8" t="s">
        <v>41</v>
      </c>
      <c r="F177" s="8">
        <v>17</v>
      </c>
      <c r="G177" s="8">
        <v>46937</v>
      </c>
      <c r="H177" s="8">
        <v>12</v>
      </c>
      <c r="I177" s="9">
        <v>46048</v>
      </c>
      <c r="J177" s="9">
        <v>46056</v>
      </c>
      <c r="K177" s="8" t="s">
        <v>29</v>
      </c>
      <c r="L177">
        <f t="shared" si="4"/>
        <v>702177.52</v>
      </c>
      <c r="M177" t="str">
        <f t="shared" si="5"/>
        <v>Average</v>
      </c>
    </row>
    <row r="178" spans="1:13" x14ac:dyDescent="0.3">
      <c r="A178" s="8">
        <v>1177</v>
      </c>
      <c r="B178" s="8" t="s">
        <v>29</v>
      </c>
      <c r="C178" s="8" t="s">
        <v>22</v>
      </c>
      <c r="D178" s="8" t="s">
        <v>18</v>
      </c>
      <c r="E178" s="8" t="s">
        <v>19</v>
      </c>
      <c r="F178" s="8">
        <v>14</v>
      </c>
      <c r="G178" s="8">
        <v>7501</v>
      </c>
      <c r="H178" s="8">
        <v>7</v>
      </c>
      <c r="I178" s="9">
        <v>46169</v>
      </c>
      <c r="J178" s="9">
        <v>46179</v>
      </c>
      <c r="K178" s="8" t="s">
        <v>20</v>
      </c>
      <c r="L178">
        <f t="shared" si="4"/>
        <v>97663.01999999999</v>
      </c>
      <c r="M178" t="str">
        <f t="shared" si="5"/>
        <v>Average</v>
      </c>
    </row>
    <row r="179" spans="1:13" x14ac:dyDescent="0.3">
      <c r="A179" s="8">
        <v>1178</v>
      </c>
      <c r="B179" s="8" t="s">
        <v>57</v>
      </c>
      <c r="C179" s="8" t="s">
        <v>17</v>
      </c>
      <c r="D179" s="8" t="s">
        <v>13</v>
      </c>
      <c r="E179" s="8" t="s">
        <v>50</v>
      </c>
      <c r="F179" s="8">
        <v>5</v>
      </c>
      <c r="G179" s="8">
        <v>50</v>
      </c>
      <c r="H179" s="8">
        <v>0</v>
      </c>
      <c r="I179" s="9">
        <v>46111</v>
      </c>
      <c r="J179" s="9">
        <v>46117</v>
      </c>
      <c r="K179" s="8" t="s">
        <v>20</v>
      </c>
      <c r="L179">
        <f t="shared" si="4"/>
        <v>250</v>
      </c>
      <c r="M179" t="str">
        <f t="shared" si="5"/>
        <v>Excellent</v>
      </c>
    </row>
    <row r="180" spans="1:13" x14ac:dyDescent="0.3">
      <c r="A180" s="8">
        <v>1179</v>
      </c>
      <c r="B180" s="8" t="s">
        <v>47</v>
      </c>
      <c r="C180" s="8" t="s">
        <v>17</v>
      </c>
      <c r="D180" s="8" t="s">
        <v>34</v>
      </c>
      <c r="E180" s="8" t="s">
        <v>39</v>
      </c>
      <c r="F180" s="8">
        <v>6</v>
      </c>
      <c r="G180" s="8">
        <v>10400</v>
      </c>
      <c r="H180" s="8">
        <v>2</v>
      </c>
      <c r="I180" s="9">
        <v>46155</v>
      </c>
      <c r="J180" s="9">
        <v>46158</v>
      </c>
      <c r="K180" s="8" t="s">
        <v>15</v>
      </c>
      <c r="L180">
        <f t="shared" si="4"/>
        <v>61152</v>
      </c>
      <c r="M180" t="str">
        <f t="shared" si="5"/>
        <v>Excellent</v>
      </c>
    </row>
    <row r="181" spans="1:13" x14ac:dyDescent="0.3">
      <c r="A181" s="8">
        <v>1180</v>
      </c>
      <c r="B181" s="8" t="s">
        <v>40</v>
      </c>
      <c r="C181" s="8" t="s">
        <v>31</v>
      </c>
      <c r="D181" s="8" t="s">
        <v>18</v>
      </c>
      <c r="E181" s="8" t="s">
        <v>28</v>
      </c>
      <c r="F181" s="8">
        <v>2</v>
      </c>
      <c r="G181" s="8">
        <v>2076</v>
      </c>
      <c r="H181" s="8">
        <v>2</v>
      </c>
      <c r="I181" s="9">
        <v>46111</v>
      </c>
      <c r="J181" s="9">
        <v>46121</v>
      </c>
      <c r="K181" s="8" t="s">
        <v>29</v>
      </c>
      <c r="L181">
        <f t="shared" si="4"/>
        <v>4068.96</v>
      </c>
      <c r="M181" t="str">
        <f t="shared" si="5"/>
        <v>Excellent</v>
      </c>
    </row>
    <row r="182" spans="1:13" x14ac:dyDescent="0.3">
      <c r="A182" s="8">
        <v>1181</v>
      </c>
      <c r="B182" s="8" t="s">
        <v>58</v>
      </c>
      <c r="C182" s="8" t="s">
        <v>33</v>
      </c>
      <c r="D182" s="8" t="s">
        <v>13</v>
      </c>
      <c r="E182" s="8" t="s">
        <v>36</v>
      </c>
      <c r="F182" s="8">
        <v>4</v>
      </c>
      <c r="G182" s="8">
        <v>357</v>
      </c>
      <c r="H182" s="8">
        <v>2</v>
      </c>
      <c r="I182" s="9">
        <v>46033</v>
      </c>
      <c r="J182" s="9">
        <v>46035</v>
      </c>
      <c r="K182" s="8" t="s">
        <v>15</v>
      </c>
      <c r="L182">
        <f t="shared" si="4"/>
        <v>1399.44</v>
      </c>
      <c r="M182" t="str">
        <f t="shared" si="5"/>
        <v>Excellent</v>
      </c>
    </row>
    <row r="183" spans="1:13" x14ac:dyDescent="0.3">
      <c r="A183" s="8">
        <v>1182</v>
      </c>
      <c r="B183" s="8" t="s">
        <v>42</v>
      </c>
      <c r="C183" s="8" t="s">
        <v>12</v>
      </c>
      <c r="D183" s="8" t="s">
        <v>34</v>
      </c>
      <c r="E183" s="8" t="s">
        <v>39</v>
      </c>
      <c r="F183" s="8">
        <v>8</v>
      </c>
      <c r="G183" s="8">
        <v>66022</v>
      </c>
      <c r="H183" s="8">
        <v>12</v>
      </c>
      <c r="I183" s="9">
        <v>46108</v>
      </c>
      <c r="J183" s="9">
        <v>46114</v>
      </c>
      <c r="K183" s="8" t="s">
        <v>24</v>
      </c>
      <c r="L183">
        <f t="shared" si="4"/>
        <v>464794.88</v>
      </c>
      <c r="M183" t="str">
        <f t="shared" si="5"/>
        <v>Excellent</v>
      </c>
    </row>
    <row r="184" spans="1:13" x14ac:dyDescent="0.3">
      <c r="A184" s="8">
        <v>1183</v>
      </c>
      <c r="B184" s="8" t="s">
        <v>52</v>
      </c>
      <c r="C184" s="8" t="s">
        <v>43</v>
      </c>
      <c r="D184" s="8" t="s">
        <v>13</v>
      </c>
      <c r="E184" s="8" t="s">
        <v>14</v>
      </c>
      <c r="F184" s="8">
        <v>2</v>
      </c>
      <c r="G184" s="8">
        <v>309</v>
      </c>
      <c r="H184" s="8">
        <v>2</v>
      </c>
      <c r="I184" s="9">
        <v>46109</v>
      </c>
      <c r="J184" s="9">
        <v>46111</v>
      </c>
      <c r="K184" s="8" t="s">
        <v>20</v>
      </c>
      <c r="L184">
        <f t="shared" si="4"/>
        <v>605.64</v>
      </c>
      <c r="M184" t="str">
        <f t="shared" si="5"/>
        <v>Average</v>
      </c>
    </row>
    <row r="185" spans="1:13" x14ac:dyDescent="0.3">
      <c r="A185" s="8">
        <v>1184</v>
      </c>
      <c r="B185" s="8" t="s">
        <v>40</v>
      </c>
      <c r="C185" s="8" t="s">
        <v>31</v>
      </c>
      <c r="D185" s="8" t="s">
        <v>34</v>
      </c>
      <c r="E185" s="8" t="s">
        <v>39</v>
      </c>
      <c r="F185" s="8">
        <v>12</v>
      </c>
      <c r="G185" s="8">
        <v>50517</v>
      </c>
      <c r="H185" s="8">
        <v>15</v>
      </c>
      <c r="I185" s="9">
        <v>46145</v>
      </c>
      <c r="J185" s="9">
        <v>46153</v>
      </c>
      <c r="K185" s="8" t="s">
        <v>29</v>
      </c>
      <c r="L185">
        <f t="shared" si="4"/>
        <v>515273.39999999997</v>
      </c>
      <c r="M185" t="str">
        <f t="shared" si="5"/>
        <v>Excellent</v>
      </c>
    </row>
    <row r="186" spans="1:13" x14ac:dyDescent="0.3">
      <c r="A186" s="8">
        <v>1185</v>
      </c>
      <c r="B186" s="8" t="s">
        <v>58</v>
      </c>
      <c r="C186" s="8" t="s">
        <v>22</v>
      </c>
      <c r="D186" s="8" t="s">
        <v>34</v>
      </c>
      <c r="E186" s="8" t="s">
        <v>60</v>
      </c>
      <c r="F186" s="8">
        <v>16</v>
      </c>
      <c r="G186" s="8">
        <v>15536</v>
      </c>
      <c r="H186" s="8">
        <v>2</v>
      </c>
      <c r="I186" s="9">
        <v>46153</v>
      </c>
      <c r="J186" s="9">
        <v>46156</v>
      </c>
      <c r="K186" s="8" t="s">
        <v>15</v>
      </c>
      <c r="L186">
        <f t="shared" si="4"/>
        <v>243604.47999999998</v>
      </c>
      <c r="M186" t="str">
        <f t="shared" si="5"/>
        <v>Average</v>
      </c>
    </row>
    <row r="187" spans="1:13" x14ac:dyDescent="0.3">
      <c r="A187" s="8">
        <v>1186</v>
      </c>
      <c r="B187" s="8" t="s">
        <v>16</v>
      </c>
      <c r="C187" s="8" t="s">
        <v>25</v>
      </c>
      <c r="D187" s="8" t="s">
        <v>18</v>
      </c>
      <c r="E187" s="8" t="s">
        <v>44</v>
      </c>
      <c r="F187" s="8">
        <v>10</v>
      </c>
      <c r="G187" s="8">
        <v>14951</v>
      </c>
      <c r="H187" s="8">
        <v>2</v>
      </c>
      <c r="I187" s="9">
        <v>46188</v>
      </c>
      <c r="J187" s="9">
        <v>46196</v>
      </c>
      <c r="K187" s="8" t="s">
        <v>24</v>
      </c>
      <c r="L187">
        <f t="shared" si="4"/>
        <v>146519.79999999999</v>
      </c>
      <c r="M187" t="str">
        <f t="shared" si="5"/>
        <v>Average</v>
      </c>
    </row>
    <row r="188" spans="1:13" x14ac:dyDescent="0.3">
      <c r="A188" s="8">
        <v>1187</v>
      </c>
      <c r="B188" s="8" t="s">
        <v>54</v>
      </c>
      <c r="C188" s="8" t="s">
        <v>22</v>
      </c>
      <c r="D188" s="8" t="s">
        <v>34</v>
      </c>
      <c r="E188" s="8" t="s">
        <v>45</v>
      </c>
      <c r="F188" s="8">
        <v>18</v>
      </c>
      <c r="G188" s="8">
        <v>68527</v>
      </c>
      <c r="H188" s="8">
        <v>12</v>
      </c>
      <c r="I188" s="9">
        <v>46178</v>
      </c>
      <c r="J188" s="9">
        <v>46184</v>
      </c>
      <c r="K188" s="8" t="s">
        <v>51</v>
      </c>
      <c r="L188">
        <f t="shared" si="4"/>
        <v>1085467.68</v>
      </c>
      <c r="M188" t="str">
        <f t="shared" si="5"/>
        <v>Average</v>
      </c>
    </row>
    <row r="189" spans="1:13" x14ac:dyDescent="0.3">
      <c r="A189" s="8">
        <v>1188</v>
      </c>
      <c r="B189" s="8" t="s">
        <v>29</v>
      </c>
      <c r="C189" s="8" t="s">
        <v>22</v>
      </c>
      <c r="D189" s="8" t="s">
        <v>18</v>
      </c>
      <c r="E189" s="8" t="s">
        <v>56</v>
      </c>
      <c r="F189" s="8">
        <v>6</v>
      </c>
      <c r="G189" s="8">
        <v>10368</v>
      </c>
      <c r="H189" s="8">
        <v>7</v>
      </c>
      <c r="I189" s="9">
        <v>46137</v>
      </c>
      <c r="J189" s="9">
        <v>46142</v>
      </c>
      <c r="K189" s="8" t="s">
        <v>15</v>
      </c>
      <c r="L189">
        <f t="shared" si="4"/>
        <v>57853.439999999995</v>
      </c>
      <c r="M189" t="str">
        <f t="shared" si="5"/>
        <v>Average</v>
      </c>
    </row>
    <row r="190" spans="1:13" x14ac:dyDescent="0.3">
      <c r="A190" s="8">
        <v>1189</v>
      </c>
      <c r="B190" s="8" t="s">
        <v>49</v>
      </c>
      <c r="C190" s="8" t="s">
        <v>31</v>
      </c>
      <c r="D190" s="8" t="s">
        <v>18</v>
      </c>
      <c r="E190" s="8" t="s">
        <v>56</v>
      </c>
      <c r="F190" s="8">
        <v>12</v>
      </c>
      <c r="G190" s="8">
        <v>8327</v>
      </c>
      <c r="H190" s="8">
        <v>10</v>
      </c>
      <c r="I190" s="9">
        <v>46184</v>
      </c>
      <c r="J190" s="9">
        <v>46185</v>
      </c>
      <c r="K190" s="8" t="s">
        <v>29</v>
      </c>
      <c r="L190">
        <f t="shared" si="4"/>
        <v>89931.6</v>
      </c>
      <c r="M190" t="str">
        <f t="shared" si="5"/>
        <v>Excellent</v>
      </c>
    </row>
    <row r="191" spans="1:13" x14ac:dyDescent="0.3">
      <c r="A191" s="8">
        <v>1190</v>
      </c>
      <c r="B191" s="8" t="s">
        <v>57</v>
      </c>
      <c r="C191" s="8" t="s">
        <v>17</v>
      </c>
      <c r="D191" s="8" t="s">
        <v>18</v>
      </c>
      <c r="E191" s="8" t="s">
        <v>28</v>
      </c>
      <c r="F191" s="8">
        <v>4</v>
      </c>
      <c r="G191" s="8">
        <v>10154</v>
      </c>
      <c r="H191" s="8">
        <v>7</v>
      </c>
      <c r="I191" s="9">
        <v>46052</v>
      </c>
      <c r="J191" s="9">
        <v>46062</v>
      </c>
      <c r="K191" s="8" t="s">
        <v>20</v>
      </c>
      <c r="L191">
        <f t="shared" si="4"/>
        <v>37772.879999999997</v>
      </c>
      <c r="M191" t="str">
        <f t="shared" si="5"/>
        <v>Excellent</v>
      </c>
    </row>
    <row r="192" spans="1:13" x14ac:dyDescent="0.3">
      <c r="A192" s="8">
        <v>1191</v>
      </c>
      <c r="B192" s="8" t="s">
        <v>52</v>
      </c>
      <c r="C192" s="8" t="s">
        <v>33</v>
      </c>
      <c r="D192" s="8" t="s">
        <v>18</v>
      </c>
      <c r="E192" s="8" t="s">
        <v>56</v>
      </c>
      <c r="F192" s="8">
        <v>9</v>
      </c>
      <c r="G192" s="8">
        <v>8631</v>
      </c>
      <c r="H192" s="8">
        <v>10</v>
      </c>
      <c r="I192" s="9">
        <v>46149</v>
      </c>
      <c r="J192" s="9">
        <v>46156</v>
      </c>
      <c r="K192" s="8" t="s">
        <v>20</v>
      </c>
      <c r="L192">
        <f t="shared" si="4"/>
        <v>69911.100000000006</v>
      </c>
      <c r="M192" t="str">
        <f t="shared" si="5"/>
        <v>Excellent</v>
      </c>
    </row>
    <row r="193" spans="1:13" x14ac:dyDescent="0.3">
      <c r="A193" s="8">
        <v>1192</v>
      </c>
      <c r="B193" s="8" t="s">
        <v>21</v>
      </c>
      <c r="C193" s="8" t="s">
        <v>33</v>
      </c>
      <c r="D193" s="8" t="s">
        <v>13</v>
      </c>
      <c r="E193" s="8" t="s">
        <v>53</v>
      </c>
      <c r="F193" s="8">
        <v>18</v>
      </c>
      <c r="G193" s="8">
        <v>49</v>
      </c>
      <c r="H193" s="8">
        <v>12</v>
      </c>
      <c r="I193" s="9">
        <v>46089</v>
      </c>
      <c r="J193" s="9">
        <v>46095</v>
      </c>
      <c r="K193" s="8" t="s">
        <v>24</v>
      </c>
      <c r="L193">
        <f t="shared" si="4"/>
        <v>776.16</v>
      </c>
      <c r="M193" t="str">
        <f t="shared" si="5"/>
        <v>Excellent</v>
      </c>
    </row>
    <row r="194" spans="1:13" x14ac:dyDescent="0.3">
      <c r="A194" s="8">
        <v>1193</v>
      </c>
      <c r="B194" s="8" t="s">
        <v>57</v>
      </c>
      <c r="C194" s="8" t="s">
        <v>12</v>
      </c>
      <c r="D194" s="8" t="s">
        <v>18</v>
      </c>
      <c r="E194" s="8" t="s">
        <v>23</v>
      </c>
      <c r="F194" s="8">
        <v>19</v>
      </c>
      <c r="G194" s="8">
        <v>2699</v>
      </c>
      <c r="H194" s="8">
        <v>7</v>
      </c>
      <c r="I194" s="9">
        <v>46110</v>
      </c>
      <c r="J194" s="9">
        <v>46112</v>
      </c>
      <c r="K194" s="8" t="s">
        <v>29</v>
      </c>
      <c r="L194">
        <f t="shared" si="4"/>
        <v>47691.329999999994</v>
      </c>
      <c r="M194" t="str">
        <f t="shared" si="5"/>
        <v>Excellent</v>
      </c>
    </row>
    <row r="195" spans="1:13" x14ac:dyDescent="0.3">
      <c r="A195" s="8">
        <v>1194</v>
      </c>
      <c r="B195" s="8" t="s">
        <v>57</v>
      </c>
      <c r="C195" s="8" t="s">
        <v>43</v>
      </c>
      <c r="D195" s="8" t="s">
        <v>18</v>
      </c>
      <c r="E195" s="8" t="s">
        <v>28</v>
      </c>
      <c r="F195" s="8">
        <v>13</v>
      </c>
      <c r="G195" s="8">
        <v>12856</v>
      </c>
      <c r="H195" s="8">
        <v>15</v>
      </c>
      <c r="I195" s="9">
        <v>46129</v>
      </c>
      <c r="J195" s="9">
        <v>46133</v>
      </c>
      <c r="K195" s="8" t="s">
        <v>51</v>
      </c>
      <c r="L195">
        <f t="shared" ref="L195:L258" si="6">F195*G195*(1-H195/100)</f>
        <v>142058.79999999999</v>
      </c>
      <c r="M195" t="str">
        <f t="shared" ref="M195:M258" si="7">IF(L194&lt;=100000, "Excellent", IF(L194&lt;=50000, "Very Good", IF(L194&lt;=20000, "Good", "Average")))</f>
        <v>Excellent</v>
      </c>
    </row>
    <row r="196" spans="1:13" x14ac:dyDescent="0.3">
      <c r="A196" s="8">
        <v>1195</v>
      </c>
      <c r="B196" s="8" t="s">
        <v>59</v>
      </c>
      <c r="C196" s="8" t="s">
        <v>17</v>
      </c>
      <c r="D196" s="8" t="s">
        <v>13</v>
      </c>
      <c r="E196" s="8" t="s">
        <v>50</v>
      </c>
      <c r="F196" s="8">
        <v>19</v>
      </c>
      <c r="G196" s="8">
        <v>313</v>
      </c>
      <c r="H196" s="8">
        <v>2</v>
      </c>
      <c r="I196" s="9">
        <v>46198</v>
      </c>
      <c r="J196" s="9">
        <v>46206</v>
      </c>
      <c r="K196" s="8" t="s">
        <v>51</v>
      </c>
      <c r="L196">
        <f t="shared" si="6"/>
        <v>5828.0599999999995</v>
      </c>
      <c r="M196" t="str">
        <f t="shared" si="7"/>
        <v>Average</v>
      </c>
    </row>
    <row r="197" spans="1:13" x14ac:dyDescent="0.3">
      <c r="A197" s="8">
        <v>1196</v>
      </c>
      <c r="B197" s="8" t="s">
        <v>48</v>
      </c>
      <c r="C197" s="8" t="s">
        <v>22</v>
      </c>
      <c r="D197" s="8" t="s">
        <v>34</v>
      </c>
      <c r="E197" s="8" t="s">
        <v>35</v>
      </c>
      <c r="F197" s="8">
        <v>20</v>
      </c>
      <c r="G197" s="8">
        <v>3172</v>
      </c>
      <c r="H197" s="8">
        <v>5</v>
      </c>
      <c r="I197" s="9">
        <v>46155</v>
      </c>
      <c r="J197" s="9">
        <v>46159</v>
      </c>
      <c r="K197" s="8" t="s">
        <v>20</v>
      </c>
      <c r="L197">
        <f t="shared" si="6"/>
        <v>60268</v>
      </c>
      <c r="M197" t="str">
        <f t="shared" si="7"/>
        <v>Excellent</v>
      </c>
    </row>
    <row r="198" spans="1:13" x14ac:dyDescent="0.3">
      <c r="A198" s="8">
        <v>1197</v>
      </c>
      <c r="B198" s="8" t="s">
        <v>52</v>
      </c>
      <c r="C198" s="8" t="s">
        <v>31</v>
      </c>
      <c r="D198" s="8" t="s">
        <v>34</v>
      </c>
      <c r="E198" s="8" t="s">
        <v>35</v>
      </c>
      <c r="F198" s="8">
        <v>5</v>
      </c>
      <c r="G198" s="8">
        <v>45352</v>
      </c>
      <c r="H198" s="8">
        <v>12</v>
      </c>
      <c r="I198" s="9">
        <v>46045</v>
      </c>
      <c r="J198" s="9">
        <v>46048</v>
      </c>
      <c r="K198" s="8" t="s">
        <v>15</v>
      </c>
      <c r="L198">
        <f t="shared" si="6"/>
        <v>199548.79999999999</v>
      </c>
      <c r="M198" t="str">
        <f t="shared" si="7"/>
        <v>Excellent</v>
      </c>
    </row>
    <row r="199" spans="1:13" x14ac:dyDescent="0.3">
      <c r="A199" s="8">
        <v>1198</v>
      </c>
      <c r="B199" s="8" t="s">
        <v>58</v>
      </c>
      <c r="C199" s="8" t="s">
        <v>12</v>
      </c>
      <c r="D199" s="8" t="s">
        <v>13</v>
      </c>
      <c r="E199" s="8" t="s">
        <v>14</v>
      </c>
      <c r="F199" s="8">
        <v>12</v>
      </c>
      <c r="G199" s="8">
        <v>491</v>
      </c>
      <c r="H199" s="8">
        <v>2</v>
      </c>
      <c r="I199" s="9">
        <v>46106</v>
      </c>
      <c r="J199" s="9">
        <v>46109</v>
      </c>
      <c r="K199" s="8" t="s">
        <v>51</v>
      </c>
      <c r="L199">
        <f t="shared" si="6"/>
        <v>5774.16</v>
      </c>
      <c r="M199" t="str">
        <f t="shared" si="7"/>
        <v>Average</v>
      </c>
    </row>
    <row r="200" spans="1:13" x14ac:dyDescent="0.3">
      <c r="A200" s="8">
        <v>1199</v>
      </c>
      <c r="B200" s="8" t="s">
        <v>11</v>
      </c>
      <c r="C200" s="8" t="s">
        <v>25</v>
      </c>
      <c r="D200" s="8" t="s">
        <v>34</v>
      </c>
      <c r="E200" s="8" t="s">
        <v>45</v>
      </c>
      <c r="F200" s="8">
        <v>2</v>
      </c>
      <c r="G200" s="8">
        <v>4375</v>
      </c>
      <c r="H200" s="8">
        <v>7</v>
      </c>
      <c r="I200" s="9">
        <v>46178</v>
      </c>
      <c r="J200" s="9">
        <v>46180</v>
      </c>
      <c r="K200" s="8" t="s">
        <v>24</v>
      </c>
      <c r="L200">
        <f t="shared" si="6"/>
        <v>8137.4999999999991</v>
      </c>
      <c r="M200" t="str">
        <f t="shared" si="7"/>
        <v>Excellent</v>
      </c>
    </row>
    <row r="201" spans="1:13" x14ac:dyDescent="0.3">
      <c r="A201" s="8">
        <v>1200</v>
      </c>
      <c r="B201" s="8" t="s">
        <v>29</v>
      </c>
      <c r="C201" s="8" t="s">
        <v>31</v>
      </c>
      <c r="D201" s="8" t="s">
        <v>34</v>
      </c>
      <c r="E201" s="8" t="s">
        <v>45</v>
      </c>
      <c r="F201" s="8">
        <v>13</v>
      </c>
      <c r="G201" s="8">
        <v>69422</v>
      </c>
      <c r="H201" s="8">
        <v>0</v>
      </c>
      <c r="I201" s="9">
        <v>46134</v>
      </c>
      <c r="J201" s="9">
        <v>46143</v>
      </c>
      <c r="K201" s="8" t="s">
        <v>29</v>
      </c>
      <c r="L201">
        <f t="shared" si="6"/>
        <v>902486</v>
      </c>
      <c r="M201" t="str">
        <f t="shared" si="7"/>
        <v>Excellent</v>
      </c>
    </row>
    <row r="202" spans="1:13" x14ac:dyDescent="0.3">
      <c r="A202" s="8">
        <v>1201</v>
      </c>
      <c r="B202" s="8" t="s">
        <v>54</v>
      </c>
      <c r="C202" s="8" t="s">
        <v>31</v>
      </c>
      <c r="D202" s="8" t="s">
        <v>13</v>
      </c>
      <c r="E202" s="8" t="s">
        <v>53</v>
      </c>
      <c r="F202" s="8">
        <v>18</v>
      </c>
      <c r="G202" s="8">
        <v>139</v>
      </c>
      <c r="H202" s="8">
        <v>12</v>
      </c>
      <c r="I202" s="9">
        <v>46075</v>
      </c>
      <c r="J202" s="9">
        <v>46076</v>
      </c>
      <c r="K202" s="8" t="s">
        <v>20</v>
      </c>
      <c r="L202">
        <f t="shared" si="6"/>
        <v>2201.7600000000002</v>
      </c>
      <c r="M202" t="str">
        <f t="shared" si="7"/>
        <v>Average</v>
      </c>
    </row>
    <row r="203" spans="1:13" x14ac:dyDescent="0.3">
      <c r="A203" s="8">
        <v>1202</v>
      </c>
      <c r="B203" s="8" t="s">
        <v>57</v>
      </c>
      <c r="C203" s="8" t="s">
        <v>22</v>
      </c>
      <c r="D203" s="8" t="s">
        <v>34</v>
      </c>
      <c r="E203" s="8" t="s">
        <v>35</v>
      </c>
      <c r="F203" s="8">
        <v>2</v>
      </c>
      <c r="G203" s="8">
        <v>20312</v>
      </c>
      <c r="H203" s="8">
        <v>12</v>
      </c>
      <c r="I203" s="9">
        <v>46082</v>
      </c>
      <c r="J203" s="9">
        <v>46091</v>
      </c>
      <c r="K203" s="8" t="s">
        <v>15</v>
      </c>
      <c r="L203">
        <f t="shared" si="6"/>
        <v>35749.120000000003</v>
      </c>
      <c r="M203" t="str">
        <f t="shared" si="7"/>
        <v>Excellent</v>
      </c>
    </row>
    <row r="204" spans="1:13" x14ac:dyDescent="0.3">
      <c r="A204" s="8">
        <v>1203</v>
      </c>
      <c r="B204" s="8" t="s">
        <v>40</v>
      </c>
      <c r="C204" s="8" t="s">
        <v>22</v>
      </c>
      <c r="D204" s="8" t="s">
        <v>18</v>
      </c>
      <c r="E204" s="8" t="s">
        <v>23</v>
      </c>
      <c r="F204" s="8">
        <v>17</v>
      </c>
      <c r="G204" s="8">
        <v>6695</v>
      </c>
      <c r="H204" s="8">
        <v>2</v>
      </c>
      <c r="I204" s="9">
        <v>46119</v>
      </c>
      <c r="J204" s="9">
        <v>46122</v>
      </c>
      <c r="K204" s="8" t="s">
        <v>51</v>
      </c>
      <c r="L204">
        <f t="shared" si="6"/>
        <v>111538.7</v>
      </c>
      <c r="M204" t="str">
        <f t="shared" si="7"/>
        <v>Excellent</v>
      </c>
    </row>
    <row r="205" spans="1:13" x14ac:dyDescent="0.3">
      <c r="A205" s="8">
        <v>1204</v>
      </c>
      <c r="B205" s="8" t="s">
        <v>16</v>
      </c>
      <c r="C205" s="8" t="s">
        <v>31</v>
      </c>
      <c r="D205" s="8" t="s">
        <v>13</v>
      </c>
      <c r="E205" s="8" t="s">
        <v>37</v>
      </c>
      <c r="F205" s="8">
        <v>13</v>
      </c>
      <c r="G205" s="8">
        <v>416</v>
      </c>
      <c r="H205" s="8">
        <v>10</v>
      </c>
      <c r="I205" s="9">
        <v>46123</v>
      </c>
      <c r="J205" s="9">
        <v>46132</v>
      </c>
      <c r="K205" s="8" t="s">
        <v>20</v>
      </c>
      <c r="L205">
        <f t="shared" si="6"/>
        <v>4867.2</v>
      </c>
      <c r="M205" t="str">
        <f t="shared" si="7"/>
        <v>Average</v>
      </c>
    </row>
    <row r="206" spans="1:13" x14ac:dyDescent="0.3">
      <c r="A206" s="8">
        <v>1205</v>
      </c>
      <c r="B206" s="8" t="s">
        <v>21</v>
      </c>
      <c r="C206" s="8" t="s">
        <v>38</v>
      </c>
      <c r="D206" s="8" t="s">
        <v>13</v>
      </c>
      <c r="E206" s="8" t="s">
        <v>36</v>
      </c>
      <c r="F206" s="8">
        <v>1</v>
      </c>
      <c r="G206" s="8">
        <v>112</v>
      </c>
      <c r="H206" s="8">
        <v>7</v>
      </c>
      <c r="I206" s="9">
        <v>46033</v>
      </c>
      <c r="J206" s="9">
        <v>46040</v>
      </c>
      <c r="K206" s="8" t="s">
        <v>51</v>
      </c>
      <c r="L206">
        <f t="shared" si="6"/>
        <v>104.16</v>
      </c>
      <c r="M206" t="str">
        <f t="shared" si="7"/>
        <v>Excellent</v>
      </c>
    </row>
    <row r="207" spans="1:13" x14ac:dyDescent="0.3">
      <c r="A207" s="8">
        <v>1206</v>
      </c>
      <c r="B207" s="8" t="s">
        <v>55</v>
      </c>
      <c r="C207" s="8" t="s">
        <v>33</v>
      </c>
      <c r="D207" s="8" t="s">
        <v>13</v>
      </c>
      <c r="E207" s="8" t="s">
        <v>14</v>
      </c>
      <c r="F207" s="8">
        <v>9</v>
      </c>
      <c r="G207" s="8">
        <v>60</v>
      </c>
      <c r="H207" s="8">
        <v>0</v>
      </c>
      <c r="I207" s="9">
        <v>46166</v>
      </c>
      <c r="J207" s="9">
        <v>46174</v>
      </c>
      <c r="K207" s="8" t="s">
        <v>15</v>
      </c>
      <c r="L207">
        <f t="shared" si="6"/>
        <v>540</v>
      </c>
      <c r="M207" t="str">
        <f t="shared" si="7"/>
        <v>Excellent</v>
      </c>
    </row>
    <row r="208" spans="1:13" x14ac:dyDescent="0.3">
      <c r="A208" s="8">
        <v>1207</v>
      </c>
      <c r="B208" s="8" t="s">
        <v>55</v>
      </c>
      <c r="C208" s="8" t="s">
        <v>25</v>
      </c>
      <c r="D208" s="8" t="s">
        <v>13</v>
      </c>
      <c r="E208" s="8" t="s">
        <v>53</v>
      </c>
      <c r="F208" s="8">
        <v>7</v>
      </c>
      <c r="G208" s="8">
        <v>244</v>
      </c>
      <c r="H208" s="8">
        <v>2</v>
      </c>
      <c r="I208" s="9">
        <v>46164</v>
      </c>
      <c r="J208" s="9">
        <v>46173</v>
      </c>
      <c r="K208" s="8" t="s">
        <v>24</v>
      </c>
      <c r="L208">
        <f t="shared" si="6"/>
        <v>1673.84</v>
      </c>
      <c r="M208" t="str">
        <f t="shared" si="7"/>
        <v>Excellent</v>
      </c>
    </row>
    <row r="209" spans="1:13" x14ac:dyDescent="0.3">
      <c r="A209" s="8">
        <v>1208</v>
      </c>
      <c r="B209" s="8" t="s">
        <v>54</v>
      </c>
      <c r="C209" s="8" t="s">
        <v>43</v>
      </c>
      <c r="D209" s="8" t="s">
        <v>18</v>
      </c>
      <c r="E209" s="8" t="s">
        <v>44</v>
      </c>
      <c r="F209" s="8">
        <v>6</v>
      </c>
      <c r="G209" s="8">
        <v>7627</v>
      </c>
      <c r="H209" s="8">
        <v>10</v>
      </c>
      <c r="I209" s="9">
        <v>46042</v>
      </c>
      <c r="J209" s="9">
        <v>46047</v>
      </c>
      <c r="K209" s="8" t="s">
        <v>20</v>
      </c>
      <c r="L209">
        <f t="shared" si="6"/>
        <v>41185.800000000003</v>
      </c>
      <c r="M209" t="str">
        <f t="shared" si="7"/>
        <v>Excellent</v>
      </c>
    </row>
    <row r="210" spans="1:13" x14ac:dyDescent="0.3">
      <c r="A210" s="8">
        <v>1209</v>
      </c>
      <c r="B210" s="8" t="s">
        <v>48</v>
      </c>
      <c r="C210" s="8" t="s">
        <v>38</v>
      </c>
      <c r="D210" s="8" t="s">
        <v>34</v>
      </c>
      <c r="E210" s="8" t="s">
        <v>35</v>
      </c>
      <c r="F210" s="8">
        <v>19</v>
      </c>
      <c r="G210" s="8">
        <v>20284</v>
      </c>
      <c r="H210" s="8">
        <v>10</v>
      </c>
      <c r="I210" s="9">
        <v>46103</v>
      </c>
      <c r="J210" s="9">
        <v>46110</v>
      </c>
      <c r="K210" s="8" t="s">
        <v>20</v>
      </c>
      <c r="L210">
        <f t="shared" si="6"/>
        <v>346856.4</v>
      </c>
      <c r="M210" t="str">
        <f t="shared" si="7"/>
        <v>Excellent</v>
      </c>
    </row>
    <row r="211" spans="1:13" x14ac:dyDescent="0.3">
      <c r="A211" s="8">
        <v>1210</v>
      </c>
      <c r="B211" s="8" t="s">
        <v>30</v>
      </c>
      <c r="C211" s="8" t="s">
        <v>31</v>
      </c>
      <c r="D211" s="8" t="s">
        <v>13</v>
      </c>
      <c r="E211" s="8" t="s">
        <v>53</v>
      </c>
      <c r="F211" s="8">
        <v>10</v>
      </c>
      <c r="G211" s="8">
        <v>349</v>
      </c>
      <c r="H211" s="8">
        <v>0</v>
      </c>
      <c r="I211" s="9">
        <v>46052</v>
      </c>
      <c r="J211" s="9">
        <v>46060</v>
      </c>
      <c r="K211" s="8" t="s">
        <v>29</v>
      </c>
      <c r="L211">
        <f t="shared" si="6"/>
        <v>3490</v>
      </c>
      <c r="M211" t="str">
        <f t="shared" si="7"/>
        <v>Average</v>
      </c>
    </row>
    <row r="212" spans="1:13" x14ac:dyDescent="0.3">
      <c r="A212" s="8">
        <v>1211</v>
      </c>
      <c r="B212" s="8" t="s">
        <v>48</v>
      </c>
      <c r="C212" s="8" t="s">
        <v>17</v>
      </c>
      <c r="D212" s="8" t="s">
        <v>34</v>
      </c>
      <c r="E212" s="8" t="s">
        <v>35</v>
      </c>
      <c r="F212" s="8">
        <v>3</v>
      </c>
      <c r="G212" s="8">
        <v>5962</v>
      </c>
      <c r="H212" s="8">
        <v>7</v>
      </c>
      <c r="I212" s="9">
        <v>46175</v>
      </c>
      <c r="J212" s="9">
        <v>46183</v>
      </c>
      <c r="K212" s="8" t="s">
        <v>15</v>
      </c>
      <c r="L212">
        <f t="shared" si="6"/>
        <v>16633.98</v>
      </c>
      <c r="M212" t="str">
        <f t="shared" si="7"/>
        <v>Excellent</v>
      </c>
    </row>
    <row r="213" spans="1:13" x14ac:dyDescent="0.3">
      <c r="A213" s="8">
        <v>1212</v>
      </c>
      <c r="B213" s="8" t="s">
        <v>59</v>
      </c>
      <c r="C213" s="8" t="s">
        <v>25</v>
      </c>
      <c r="D213" s="8" t="s">
        <v>34</v>
      </c>
      <c r="E213" s="8" t="s">
        <v>60</v>
      </c>
      <c r="F213" s="8">
        <v>10</v>
      </c>
      <c r="G213" s="8">
        <v>34380</v>
      </c>
      <c r="H213" s="8">
        <v>7</v>
      </c>
      <c r="I213" s="9">
        <v>46194</v>
      </c>
      <c r="J213" s="9">
        <v>46195</v>
      </c>
      <c r="K213" s="8" t="s">
        <v>29</v>
      </c>
      <c r="L213">
        <f t="shared" si="6"/>
        <v>319734</v>
      </c>
      <c r="M213" t="str">
        <f t="shared" si="7"/>
        <v>Excellent</v>
      </c>
    </row>
    <row r="214" spans="1:13" x14ac:dyDescent="0.3">
      <c r="A214" s="8">
        <v>1213</v>
      </c>
      <c r="B214" s="8" t="s">
        <v>32</v>
      </c>
      <c r="C214" s="8" t="s">
        <v>38</v>
      </c>
      <c r="D214" s="8" t="s">
        <v>34</v>
      </c>
      <c r="E214" s="8" t="s">
        <v>45</v>
      </c>
      <c r="F214" s="8">
        <v>16</v>
      </c>
      <c r="G214" s="8">
        <v>27741</v>
      </c>
      <c r="H214" s="8">
        <v>12</v>
      </c>
      <c r="I214" s="9">
        <v>46116</v>
      </c>
      <c r="J214" s="9">
        <v>46119</v>
      </c>
      <c r="K214" s="8" t="s">
        <v>15</v>
      </c>
      <c r="L214">
        <f t="shared" si="6"/>
        <v>390593.28000000003</v>
      </c>
      <c r="M214" t="str">
        <f t="shared" si="7"/>
        <v>Average</v>
      </c>
    </row>
    <row r="215" spans="1:13" x14ac:dyDescent="0.3">
      <c r="A215" s="8">
        <v>1214</v>
      </c>
      <c r="B215" s="8" t="s">
        <v>42</v>
      </c>
      <c r="C215" s="8" t="s">
        <v>25</v>
      </c>
      <c r="D215" s="8" t="s">
        <v>18</v>
      </c>
      <c r="E215" s="8" t="s">
        <v>28</v>
      </c>
      <c r="F215" s="8">
        <v>19</v>
      </c>
      <c r="G215" s="8">
        <v>13832</v>
      </c>
      <c r="H215" s="8">
        <v>0</v>
      </c>
      <c r="I215" s="9">
        <v>46140</v>
      </c>
      <c r="J215" s="9">
        <v>46145</v>
      </c>
      <c r="K215" s="8" t="s">
        <v>51</v>
      </c>
      <c r="L215">
        <f t="shared" si="6"/>
        <v>262808</v>
      </c>
      <c r="M215" t="str">
        <f t="shared" si="7"/>
        <v>Average</v>
      </c>
    </row>
    <row r="216" spans="1:13" x14ac:dyDescent="0.3">
      <c r="A216" s="8">
        <v>1215</v>
      </c>
      <c r="B216" s="8" t="s">
        <v>27</v>
      </c>
      <c r="C216" s="8" t="s">
        <v>12</v>
      </c>
      <c r="D216" s="8" t="s">
        <v>18</v>
      </c>
      <c r="E216" s="8" t="s">
        <v>28</v>
      </c>
      <c r="F216" s="8">
        <v>6</v>
      </c>
      <c r="G216" s="8">
        <v>1254</v>
      </c>
      <c r="H216" s="8">
        <v>0</v>
      </c>
      <c r="I216" s="9">
        <v>46131</v>
      </c>
      <c r="J216" s="9">
        <v>46136</v>
      </c>
      <c r="K216" s="8" t="s">
        <v>29</v>
      </c>
      <c r="L216">
        <f t="shared" si="6"/>
        <v>7524</v>
      </c>
      <c r="M216" t="str">
        <f t="shared" si="7"/>
        <v>Average</v>
      </c>
    </row>
    <row r="217" spans="1:13" x14ac:dyDescent="0.3">
      <c r="A217" s="8">
        <v>1216</v>
      </c>
      <c r="B217" s="8" t="s">
        <v>40</v>
      </c>
      <c r="C217" s="8" t="s">
        <v>22</v>
      </c>
      <c r="D217" s="8" t="s">
        <v>34</v>
      </c>
      <c r="E217" s="8" t="s">
        <v>45</v>
      </c>
      <c r="F217" s="8">
        <v>10</v>
      </c>
      <c r="G217" s="8">
        <v>56709</v>
      </c>
      <c r="H217" s="8">
        <v>15</v>
      </c>
      <c r="I217" s="9">
        <v>46135</v>
      </c>
      <c r="J217" s="9">
        <v>46139</v>
      </c>
      <c r="K217" s="8" t="s">
        <v>29</v>
      </c>
      <c r="L217">
        <f t="shared" si="6"/>
        <v>482026.5</v>
      </c>
      <c r="M217" t="str">
        <f t="shared" si="7"/>
        <v>Excellent</v>
      </c>
    </row>
    <row r="218" spans="1:13" x14ac:dyDescent="0.3">
      <c r="A218" s="8">
        <v>1217</v>
      </c>
      <c r="B218" s="8" t="s">
        <v>30</v>
      </c>
      <c r="C218" s="8" t="s">
        <v>22</v>
      </c>
      <c r="D218" s="8" t="s">
        <v>13</v>
      </c>
      <c r="E218" s="8" t="s">
        <v>50</v>
      </c>
      <c r="F218" s="8">
        <v>18</v>
      </c>
      <c r="G218" s="8">
        <v>60</v>
      </c>
      <c r="H218" s="8">
        <v>0</v>
      </c>
      <c r="I218" s="9">
        <v>46171</v>
      </c>
      <c r="J218" s="9">
        <v>46172</v>
      </c>
      <c r="K218" s="8" t="s">
        <v>29</v>
      </c>
      <c r="L218">
        <f t="shared" si="6"/>
        <v>1080</v>
      </c>
      <c r="M218" t="str">
        <f t="shared" si="7"/>
        <v>Average</v>
      </c>
    </row>
    <row r="219" spans="1:13" x14ac:dyDescent="0.3">
      <c r="A219" s="8">
        <v>1218</v>
      </c>
      <c r="B219" s="8" t="s">
        <v>55</v>
      </c>
      <c r="C219" s="8" t="s">
        <v>38</v>
      </c>
      <c r="D219" s="8" t="s">
        <v>13</v>
      </c>
      <c r="E219" s="8" t="s">
        <v>14</v>
      </c>
      <c r="F219" s="8">
        <v>1</v>
      </c>
      <c r="G219" s="8">
        <v>134</v>
      </c>
      <c r="H219" s="8">
        <v>10</v>
      </c>
      <c r="I219" s="9">
        <v>46143</v>
      </c>
      <c r="J219" s="9">
        <v>46151</v>
      </c>
      <c r="K219" s="8" t="s">
        <v>51</v>
      </c>
      <c r="L219">
        <f t="shared" si="6"/>
        <v>120.60000000000001</v>
      </c>
      <c r="M219" t="str">
        <f t="shared" si="7"/>
        <v>Excellent</v>
      </c>
    </row>
    <row r="220" spans="1:13" x14ac:dyDescent="0.3">
      <c r="A220" s="8">
        <v>1219</v>
      </c>
      <c r="B220" s="8" t="s">
        <v>46</v>
      </c>
      <c r="C220" s="8" t="s">
        <v>22</v>
      </c>
      <c r="D220" s="8" t="s">
        <v>13</v>
      </c>
      <c r="E220" s="8" t="s">
        <v>14</v>
      </c>
      <c r="F220" s="8">
        <v>4</v>
      </c>
      <c r="G220" s="8">
        <v>117</v>
      </c>
      <c r="H220" s="8">
        <v>15</v>
      </c>
      <c r="I220" s="9">
        <v>46202</v>
      </c>
      <c r="J220" s="9">
        <v>46206</v>
      </c>
      <c r="K220" s="8" t="s">
        <v>29</v>
      </c>
      <c r="L220">
        <f t="shared" si="6"/>
        <v>397.8</v>
      </c>
      <c r="M220" t="str">
        <f t="shared" si="7"/>
        <v>Excellent</v>
      </c>
    </row>
    <row r="221" spans="1:13" x14ac:dyDescent="0.3">
      <c r="A221" s="8">
        <v>1220</v>
      </c>
      <c r="B221" s="8" t="s">
        <v>11</v>
      </c>
      <c r="C221" s="8" t="s">
        <v>25</v>
      </c>
      <c r="D221" s="8" t="s">
        <v>18</v>
      </c>
      <c r="E221" s="8" t="s">
        <v>56</v>
      </c>
      <c r="F221" s="8">
        <v>2</v>
      </c>
      <c r="G221" s="8">
        <v>8861</v>
      </c>
      <c r="H221" s="8">
        <v>2</v>
      </c>
      <c r="I221" s="9">
        <v>46170</v>
      </c>
      <c r="J221" s="9">
        <v>46174</v>
      </c>
      <c r="K221" s="8" t="s">
        <v>24</v>
      </c>
      <c r="L221">
        <f t="shared" si="6"/>
        <v>17367.560000000001</v>
      </c>
      <c r="M221" t="str">
        <f t="shared" si="7"/>
        <v>Excellent</v>
      </c>
    </row>
    <row r="222" spans="1:13" x14ac:dyDescent="0.3">
      <c r="A222" s="8">
        <v>1221</v>
      </c>
      <c r="B222" s="8" t="s">
        <v>11</v>
      </c>
      <c r="C222" s="8" t="s">
        <v>31</v>
      </c>
      <c r="D222" s="8" t="s">
        <v>18</v>
      </c>
      <c r="E222" s="8" t="s">
        <v>56</v>
      </c>
      <c r="F222" s="8">
        <v>18</v>
      </c>
      <c r="G222" s="8">
        <v>2681</v>
      </c>
      <c r="H222" s="8">
        <v>10</v>
      </c>
      <c r="I222" s="9">
        <v>46122</v>
      </c>
      <c r="J222" s="9">
        <v>46125</v>
      </c>
      <c r="K222" s="8" t="s">
        <v>51</v>
      </c>
      <c r="L222">
        <f t="shared" si="6"/>
        <v>43432.200000000004</v>
      </c>
      <c r="M222" t="str">
        <f t="shared" si="7"/>
        <v>Excellent</v>
      </c>
    </row>
    <row r="223" spans="1:13" x14ac:dyDescent="0.3">
      <c r="A223" s="8">
        <v>1222</v>
      </c>
      <c r="B223" s="8" t="s">
        <v>30</v>
      </c>
      <c r="C223" s="8" t="s">
        <v>33</v>
      </c>
      <c r="D223" s="8" t="s">
        <v>18</v>
      </c>
      <c r="E223" s="8" t="s">
        <v>23</v>
      </c>
      <c r="F223" s="8">
        <v>9</v>
      </c>
      <c r="G223" s="8">
        <v>2712</v>
      </c>
      <c r="H223" s="8">
        <v>12</v>
      </c>
      <c r="I223" s="9">
        <v>46154</v>
      </c>
      <c r="J223" s="9">
        <v>46163</v>
      </c>
      <c r="K223" s="8" t="s">
        <v>15</v>
      </c>
      <c r="L223">
        <f t="shared" si="6"/>
        <v>21479.040000000001</v>
      </c>
      <c r="M223" t="str">
        <f t="shared" si="7"/>
        <v>Excellent</v>
      </c>
    </row>
    <row r="224" spans="1:13" x14ac:dyDescent="0.3">
      <c r="A224" s="8">
        <v>1223</v>
      </c>
      <c r="B224" s="8" t="s">
        <v>59</v>
      </c>
      <c r="C224" s="8" t="s">
        <v>17</v>
      </c>
      <c r="D224" s="8" t="s">
        <v>18</v>
      </c>
      <c r="E224" s="8" t="s">
        <v>23</v>
      </c>
      <c r="F224" s="8">
        <v>4</v>
      </c>
      <c r="G224" s="8">
        <v>2249</v>
      </c>
      <c r="H224" s="8">
        <v>7</v>
      </c>
      <c r="I224" s="9">
        <v>46077</v>
      </c>
      <c r="J224" s="9">
        <v>46084</v>
      </c>
      <c r="K224" s="8" t="s">
        <v>15</v>
      </c>
      <c r="L224">
        <f t="shared" si="6"/>
        <v>8366.2799999999988</v>
      </c>
      <c r="M224" t="str">
        <f t="shared" si="7"/>
        <v>Excellent</v>
      </c>
    </row>
    <row r="225" spans="1:13" x14ac:dyDescent="0.3">
      <c r="A225" s="8">
        <v>1224</v>
      </c>
      <c r="B225" s="8" t="s">
        <v>30</v>
      </c>
      <c r="C225" s="8" t="s">
        <v>38</v>
      </c>
      <c r="D225" s="8" t="s">
        <v>34</v>
      </c>
      <c r="E225" s="8" t="s">
        <v>45</v>
      </c>
      <c r="F225" s="8">
        <v>16</v>
      </c>
      <c r="G225" s="8">
        <v>18378</v>
      </c>
      <c r="H225" s="8">
        <v>10</v>
      </c>
      <c r="I225" s="9">
        <v>46045</v>
      </c>
      <c r="J225" s="9">
        <v>46052</v>
      </c>
      <c r="K225" s="8" t="s">
        <v>24</v>
      </c>
      <c r="L225">
        <f t="shared" si="6"/>
        <v>264643.20000000001</v>
      </c>
      <c r="M225" t="str">
        <f t="shared" si="7"/>
        <v>Excellent</v>
      </c>
    </row>
    <row r="226" spans="1:13" x14ac:dyDescent="0.3">
      <c r="A226" s="8">
        <v>1225</v>
      </c>
      <c r="B226" s="8" t="s">
        <v>42</v>
      </c>
      <c r="C226" s="8" t="s">
        <v>31</v>
      </c>
      <c r="D226" s="8" t="s">
        <v>34</v>
      </c>
      <c r="E226" s="8" t="s">
        <v>35</v>
      </c>
      <c r="F226" s="8">
        <v>16</v>
      </c>
      <c r="G226" s="8">
        <v>32262</v>
      </c>
      <c r="H226" s="8">
        <v>12</v>
      </c>
      <c r="I226" s="9">
        <v>46125</v>
      </c>
      <c r="J226" s="9">
        <v>46126</v>
      </c>
      <c r="K226" s="8" t="s">
        <v>20</v>
      </c>
      <c r="L226">
        <f t="shared" si="6"/>
        <v>454248.96000000002</v>
      </c>
      <c r="M226" t="str">
        <f t="shared" si="7"/>
        <v>Average</v>
      </c>
    </row>
    <row r="227" spans="1:13" x14ac:dyDescent="0.3">
      <c r="A227" s="8">
        <v>1226</v>
      </c>
      <c r="B227" s="8" t="s">
        <v>29</v>
      </c>
      <c r="C227" s="8" t="s">
        <v>31</v>
      </c>
      <c r="D227" s="8" t="s">
        <v>34</v>
      </c>
      <c r="E227" s="8" t="s">
        <v>41</v>
      </c>
      <c r="F227" s="8">
        <v>13</v>
      </c>
      <c r="G227" s="8">
        <v>21332</v>
      </c>
      <c r="H227" s="8">
        <v>0</v>
      </c>
      <c r="I227" s="9">
        <v>46044</v>
      </c>
      <c r="J227" s="9">
        <v>46048</v>
      </c>
      <c r="K227" s="8" t="s">
        <v>29</v>
      </c>
      <c r="L227">
        <f t="shared" si="6"/>
        <v>277316</v>
      </c>
      <c r="M227" t="str">
        <f t="shared" si="7"/>
        <v>Average</v>
      </c>
    </row>
    <row r="228" spans="1:13" x14ac:dyDescent="0.3">
      <c r="A228" s="8">
        <v>1227</v>
      </c>
      <c r="B228" s="8" t="s">
        <v>58</v>
      </c>
      <c r="C228" s="8" t="s">
        <v>22</v>
      </c>
      <c r="D228" s="8" t="s">
        <v>34</v>
      </c>
      <c r="E228" s="8" t="s">
        <v>45</v>
      </c>
      <c r="F228" s="8">
        <v>16</v>
      </c>
      <c r="G228" s="8">
        <v>1321</v>
      </c>
      <c r="H228" s="8">
        <v>12</v>
      </c>
      <c r="I228" s="9">
        <v>46113</v>
      </c>
      <c r="J228" s="9">
        <v>46116</v>
      </c>
      <c r="K228" s="8" t="s">
        <v>15</v>
      </c>
      <c r="L228">
        <f t="shared" si="6"/>
        <v>18599.68</v>
      </c>
      <c r="M228" t="str">
        <f t="shared" si="7"/>
        <v>Average</v>
      </c>
    </row>
    <row r="229" spans="1:13" x14ac:dyDescent="0.3">
      <c r="A229" s="8">
        <v>1228</v>
      </c>
      <c r="B229" s="8" t="s">
        <v>29</v>
      </c>
      <c r="C229" s="8" t="s">
        <v>25</v>
      </c>
      <c r="D229" s="8" t="s">
        <v>34</v>
      </c>
      <c r="E229" s="8" t="s">
        <v>45</v>
      </c>
      <c r="F229" s="8">
        <v>16</v>
      </c>
      <c r="G229" s="8">
        <v>17477</v>
      </c>
      <c r="H229" s="8">
        <v>10</v>
      </c>
      <c r="I229" s="9">
        <v>46041</v>
      </c>
      <c r="J229" s="9">
        <v>46043</v>
      </c>
      <c r="K229" s="8" t="s">
        <v>24</v>
      </c>
      <c r="L229">
        <f t="shared" si="6"/>
        <v>251668.80000000002</v>
      </c>
      <c r="M229" t="str">
        <f t="shared" si="7"/>
        <v>Excellent</v>
      </c>
    </row>
    <row r="230" spans="1:13" x14ac:dyDescent="0.3">
      <c r="A230" s="8">
        <v>1229</v>
      </c>
      <c r="B230" s="8" t="s">
        <v>57</v>
      </c>
      <c r="C230" s="8" t="s">
        <v>12</v>
      </c>
      <c r="D230" s="8" t="s">
        <v>18</v>
      </c>
      <c r="E230" s="8" t="s">
        <v>56</v>
      </c>
      <c r="F230" s="8">
        <v>14</v>
      </c>
      <c r="G230" s="8">
        <v>5859</v>
      </c>
      <c r="H230" s="8">
        <v>12</v>
      </c>
      <c r="I230" s="9">
        <v>46027</v>
      </c>
      <c r="J230" s="9">
        <v>46036</v>
      </c>
      <c r="K230" s="8" t="s">
        <v>20</v>
      </c>
      <c r="L230">
        <f t="shared" si="6"/>
        <v>72182.880000000005</v>
      </c>
      <c r="M230" t="str">
        <f t="shared" si="7"/>
        <v>Average</v>
      </c>
    </row>
    <row r="231" spans="1:13" x14ac:dyDescent="0.3">
      <c r="A231" s="8">
        <v>1230</v>
      </c>
      <c r="B231" s="8" t="s">
        <v>59</v>
      </c>
      <c r="C231" s="8" t="s">
        <v>33</v>
      </c>
      <c r="D231" s="8" t="s">
        <v>34</v>
      </c>
      <c r="E231" s="8" t="s">
        <v>60</v>
      </c>
      <c r="F231" s="8">
        <v>7</v>
      </c>
      <c r="G231" s="8">
        <v>2932</v>
      </c>
      <c r="H231" s="8">
        <v>7</v>
      </c>
      <c r="I231" s="9">
        <v>46050</v>
      </c>
      <c r="J231" s="9">
        <v>46059</v>
      </c>
      <c r="K231" s="8" t="s">
        <v>24</v>
      </c>
      <c r="L231">
        <f t="shared" si="6"/>
        <v>19087.32</v>
      </c>
      <c r="M231" t="str">
        <f t="shared" si="7"/>
        <v>Excellent</v>
      </c>
    </row>
    <row r="232" spans="1:13" x14ac:dyDescent="0.3">
      <c r="A232" s="8">
        <v>1231</v>
      </c>
      <c r="B232" s="8" t="s">
        <v>48</v>
      </c>
      <c r="C232" s="8" t="s">
        <v>38</v>
      </c>
      <c r="D232" s="8" t="s">
        <v>18</v>
      </c>
      <c r="E232" s="8" t="s">
        <v>19</v>
      </c>
      <c r="F232" s="8">
        <v>13</v>
      </c>
      <c r="G232" s="8">
        <v>10297</v>
      </c>
      <c r="H232" s="8">
        <v>12</v>
      </c>
      <c r="I232" s="9">
        <v>46178</v>
      </c>
      <c r="J232" s="9">
        <v>46186</v>
      </c>
      <c r="K232" s="8" t="s">
        <v>20</v>
      </c>
      <c r="L232">
        <f t="shared" si="6"/>
        <v>117797.68000000001</v>
      </c>
      <c r="M232" t="str">
        <f t="shared" si="7"/>
        <v>Excellent</v>
      </c>
    </row>
    <row r="233" spans="1:13" x14ac:dyDescent="0.3">
      <c r="A233" s="8">
        <v>1232</v>
      </c>
      <c r="B233" s="8" t="s">
        <v>21</v>
      </c>
      <c r="C233" s="8" t="s">
        <v>12</v>
      </c>
      <c r="D233" s="8" t="s">
        <v>34</v>
      </c>
      <c r="E233" s="8" t="s">
        <v>60</v>
      </c>
      <c r="F233" s="8">
        <v>3</v>
      </c>
      <c r="G233" s="8">
        <v>13272</v>
      </c>
      <c r="H233" s="8">
        <v>2</v>
      </c>
      <c r="I233" s="9">
        <v>46060</v>
      </c>
      <c r="J233" s="9">
        <v>46065</v>
      </c>
      <c r="K233" s="8" t="s">
        <v>15</v>
      </c>
      <c r="L233">
        <f t="shared" si="6"/>
        <v>39019.68</v>
      </c>
      <c r="M233" t="str">
        <f t="shared" si="7"/>
        <v>Average</v>
      </c>
    </row>
    <row r="234" spans="1:13" x14ac:dyDescent="0.3">
      <c r="A234" s="8">
        <v>1233</v>
      </c>
      <c r="B234" s="8" t="s">
        <v>58</v>
      </c>
      <c r="C234" s="8" t="s">
        <v>22</v>
      </c>
      <c r="D234" s="8" t="s">
        <v>18</v>
      </c>
      <c r="E234" s="8" t="s">
        <v>19</v>
      </c>
      <c r="F234" s="8">
        <v>20</v>
      </c>
      <c r="G234" s="8">
        <v>13941</v>
      </c>
      <c r="H234" s="8">
        <v>15</v>
      </c>
      <c r="I234" s="9">
        <v>46198</v>
      </c>
      <c r="J234" s="9">
        <v>46202</v>
      </c>
      <c r="K234" s="8" t="s">
        <v>24</v>
      </c>
      <c r="L234">
        <f t="shared" si="6"/>
        <v>236997</v>
      </c>
      <c r="M234" t="str">
        <f t="shared" si="7"/>
        <v>Excellent</v>
      </c>
    </row>
    <row r="235" spans="1:13" x14ac:dyDescent="0.3">
      <c r="A235" s="8">
        <v>1234</v>
      </c>
      <c r="B235" s="8" t="s">
        <v>11</v>
      </c>
      <c r="C235" s="8" t="s">
        <v>25</v>
      </c>
      <c r="D235" s="8" t="s">
        <v>18</v>
      </c>
      <c r="E235" s="8" t="s">
        <v>28</v>
      </c>
      <c r="F235" s="8">
        <v>1</v>
      </c>
      <c r="G235" s="8">
        <v>14320</v>
      </c>
      <c r="H235" s="8">
        <v>12</v>
      </c>
      <c r="I235" s="9">
        <v>46114</v>
      </c>
      <c r="J235" s="9">
        <v>46121</v>
      </c>
      <c r="K235" s="8" t="s">
        <v>51</v>
      </c>
      <c r="L235">
        <f t="shared" si="6"/>
        <v>12601.6</v>
      </c>
      <c r="M235" t="str">
        <f t="shared" si="7"/>
        <v>Average</v>
      </c>
    </row>
    <row r="236" spans="1:13" x14ac:dyDescent="0.3">
      <c r="A236" s="8">
        <v>1235</v>
      </c>
      <c r="B236" s="8" t="s">
        <v>57</v>
      </c>
      <c r="C236" s="8" t="s">
        <v>25</v>
      </c>
      <c r="D236" s="8" t="s">
        <v>13</v>
      </c>
      <c r="E236" s="8" t="s">
        <v>50</v>
      </c>
      <c r="F236" s="8">
        <v>15</v>
      </c>
      <c r="G236" s="8">
        <v>267</v>
      </c>
      <c r="H236" s="8">
        <v>15</v>
      </c>
      <c r="I236" s="9">
        <v>46172</v>
      </c>
      <c r="J236" s="9">
        <v>46177</v>
      </c>
      <c r="K236" s="8" t="s">
        <v>29</v>
      </c>
      <c r="L236">
        <f t="shared" si="6"/>
        <v>3404.25</v>
      </c>
      <c r="M236" t="str">
        <f t="shared" si="7"/>
        <v>Excellent</v>
      </c>
    </row>
    <row r="237" spans="1:13" x14ac:dyDescent="0.3">
      <c r="A237" s="8">
        <v>1236</v>
      </c>
      <c r="B237" s="8" t="s">
        <v>54</v>
      </c>
      <c r="C237" s="8" t="s">
        <v>43</v>
      </c>
      <c r="D237" s="8" t="s">
        <v>13</v>
      </c>
      <c r="E237" s="8" t="s">
        <v>37</v>
      </c>
      <c r="F237" s="8">
        <v>12</v>
      </c>
      <c r="G237" s="8">
        <v>189</v>
      </c>
      <c r="H237" s="8">
        <v>7</v>
      </c>
      <c r="I237" s="9">
        <v>46164</v>
      </c>
      <c r="J237" s="9">
        <v>46169</v>
      </c>
      <c r="K237" s="8" t="s">
        <v>29</v>
      </c>
      <c r="L237">
        <f t="shared" si="6"/>
        <v>2109.2399999999998</v>
      </c>
      <c r="M237" t="str">
        <f t="shared" si="7"/>
        <v>Excellent</v>
      </c>
    </row>
    <row r="238" spans="1:13" x14ac:dyDescent="0.3">
      <c r="A238" s="8">
        <v>1237</v>
      </c>
      <c r="B238" s="8" t="s">
        <v>46</v>
      </c>
      <c r="C238" s="8" t="s">
        <v>38</v>
      </c>
      <c r="D238" s="8" t="s">
        <v>18</v>
      </c>
      <c r="E238" s="8" t="s">
        <v>56</v>
      </c>
      <c r="F238" s="8">
        <v>8</v>
      </c>
      <c r="G238" s="8">
        <v>12123</v>
      </c>
      <c r="H238" s="8">
        <v>2</v>
      </c>
      <c r="I238" s="9">
        <v>46137</v>
      </c>
      <c r="J238" s="9">
        <v>46145</v>
      </c>
      <c r="K238" s="8" t="s">
        <v>15</v>
      </c>
      <c r="L238">
        <f t="shared" si="6"/>
        <v>95044.319999999992</v>
      </c>
      <c r="M238" t="str">
        <f t="shared" si="7"/>
        <v>Excellent</v>
      </c>
    </row>
    <row r="239" spans="1:13" x14ac:dyDescent="0.3">
      <c r="A239" s="8">
        <v>1238</v>
      </c>
      <c r="B239" s="8" t="s">
        <v>30</v>
      </c>
      <c r="C239" s="8" t="s">
        <v>31</v>
      </c>
      <c r="D239" s="8" t="s">
        <v>13</v>
      </c>
      <c r="E239" s="8" t="s">
        <v>14</v>
      </c>
      <c r="F239" s="8">
        <v>6</v>
      </c>
      <c r="G239" s="8">
        <v>180</v>
      </c>
      <c r="H239" s="8">
        <v>12</v>
      </c>
      <c r="I239" s="9">
        <v>46096</v>
      </c>
      <c r="J239" s="9">
        <v>46097</v>
      </c>
      <c r="K239" s="8" t="s">
        <v>51</v>
      </c>
      <c r="L239">
        <f t="shared" si="6"/>
        <v>950.4</v>
      </c>
      <c r="M239" t="str">
        <f t="shared" si="7"/>
        <v>Excellent</v>
      </c>
    </row>
    <row r="240" spans="1:13" x14ac:dyDescent="0.3">
      <c r="A240" s="8">
        <v>1239</v>
      </c>
      <c r="B240" s="8" t="s">
        <v>48</v>
      </c>
      <c r="C240" s="8" t="s">
        <v>17</v>
      </c>
      <c r="D240" s="8" t="s">
        <v>18</v>
      </c>
      <c r="E240" s="8" t="s">
        <v>56</v>
      </c>
      <c r="F240" s="8">
        <v>2</v>
      </c>
      <c r="G240" s="8">
        <v>12330</v>
      </c>
      <c r="H240" s="8">
        <v>12</v>
      </c>
      <c r="I240" s="9">
        <v>46122</v>
      </c>
      <c r="J240" s="9">
        <v>46125</v>
      </c>
      <c r="K240" s="8" t="s">
        <v>15</v>
      </c>
      <c r="L240">
        <f t="shared" si="6"/>
        <v>21700.799999999999</v>
      </c>
      <c r="M240" t="str">
        <f t="shared" si="7"/>
        <v>Excellent</v>
      </c>
    </row>
    <row r="241" spans="1:13" x14ac:dyDescent="0.3">
      <c r="A241" s="8">
        <v>1240</v>
      </c>
      <c r="B241" s="8" t="s">
        <v>55</v>
      </c>
      <c r="C241" s="8" t="s">
        <v>33</v>
      </c>
      <c r="D241" s="8" t="s">
        <v>18</v>
      </c>
      <c r="E241" s="8" t="s">
        <v>23</v>
      </c>
      <c r="F241" s="8">
        <v>2</v>
      </c>
      <c r="G241" s="8">
        <v>5475</v>
      </c>
      <c r="H241" s="8">
        <v>2</v>
      </c>
      <c r="I241" s="9">
        <v>46142</v>
      </c>
      <c r="J241" s="9">
        <v>46146</v>
      </c>
      <c r="K241" s="8" t="s">
        <v>29</v>
      </c>
      <c r="L241">
        <f t="shared" si="6"/>
        <v>10731</v>
      </c>
      <c r="M241" t="str">
        <f t="shared" si="7"/>
        <v>Excellent</v>
      </c>
    </row>
    <row r="242" spans="1:13" x14ac:dyDescent="0.3">
      <c r="A242" s="8">
        <v>1241</v>
      </c>
      <c r="B242" s="8" t="s">
        <v>46</v>
      </c>
      <c r="C242" s="8" t="s">
        <v>31</v>
      </c>
      <c r="D242" s="8" t="s">
        <v>18</v>
      </c>
      <c r="E242" s="8" t="s">
        <v>44</v>
      </c>
      <c r="F242" s="8">
        <v>1</v>
      </c>
      <c r="G242" s="8">
        <v>12537</v>
      </c>
      <c r="H242" s="8">
        <v>0</v>
      </c>
      <c r="I242" s="9">
        <v>46119</v>
      </c>
      <c r="J242" s="9">
        <v>46122</v>
      </c>
      <c r="K242" s="8" t="s">
        <v>15</v>
      </c>
      <c r="L242">
        <f t="shared" si="6"/>
        <v>12537</v>
      </c>
      <c r="M242" t="str">
        <f t="shared" si="7"/>
        <v>Excellent</v>
      </c>
    </row>
    <row r="243" spans="1:13" x14ac:dyDescent="0.3">
      <c r="A243" s="8">
        <v>1242</v>
      </c>
      <c r="B243" s="8" t="s">
        <v>54</v>
      </c>
      <c r="C243" s="8" t="s">
        <v>38</v>
      </c>
      <c r="D243" s="8" t="s">
        <v>13</v>
      </c>
      <c r="E243" s="8" t="s">
        <v>50</v>
      </c>
      <c r="F243" s="8">
        <v>7</v>
      </c>
      <c r="G243" s="8">
        <v>168</v>
      </c>
      <c r="H243" s="8">
        <v>10</v>
      </c>
      <c r="I243" s="9">
        <v>46191</v>
      </c>
      <c r="J243" s="9">
        <v>46196</v>
      </c>
      <c r="K243" s="8" t="s">
        <v>51</v>
      </c>
      <c r="L243">
        <f t="shared" si="6"/>
        <v>1058.4000000000001</v>
      </c>
      <c r="M243" t="str">
        <f t="shared" si="7"/>
        <v>Excellent</v>
      </c>
    </row>
    <row r="244" spans="1:13" x14ac:dyDescent="0.3">
      <c r="A244" s="8">
        <v>1243</v>
      </c>
      <c r="B244" s="8" t="s">
        <v>30</v>
      </c>
      <c r="C244" s="8" t="s">
        <v>31</v>
      </c>
      <c r="D244" s="8" t="s">
        <v>34</v>
      </c>
      <c r="E244" s="8" t="s">
        <v>41</v>
      </c>
      <c r="F244" s="8">
        <v>5</v>
      </c>
      <c r="G244" s="8">
        <v>11570</v>
      </c>
      <c r="H244" s="8">
        <v>15</v>
      </c>
      <c r="I244" s="9">
        <v>46069</v>
      </c>
      <c r="J244" s="9">
        <v>46077</v>
      </c>
      <c r="K244" s="8" t="s">
        <v>24</v>
      </c>
      <c r="L244">
        <f t="shared" si="6"/>
        <v>49172.5</v>
      </c>
      <c r="M244" t="str">
        <f t="shared" si="7"/>
        <v>Excellent</v>
      </c>
    </row>
    <row r="245" spans="1:13" x14ac:dyDescent="0.3">
      <c r="A245" s="8">
        <v>1244</v>
      </c>
      <c r="B245" s="8" t="s">
        <v>57</v>
      </c>
      <c r="C245" s="8" t="s">
        <v>38</v>
      </c>
      <c r="D245" s="8" t="s">
        <v>18</v>
      </c>
      <c r="E245" s="8" t="s">
        <v>28</v>
      </c>
      <c r="F245" s="8">
        <v>10</v>
      </c>
      <c r="G245" s="8">
        <v>6339</v>
      </c>
      <c r="H245" s="8">
        <v>12</v>
      </c>
      <c r="I245" s="9">
        <v>46200</v>
      </c>
      <c r="J245" s="9">
        <v>46205</v>
      </c>
      <c r="K245" s="8" t="s">
        <v>15</v>
      </c>
      <c r="L245">
        <f t="shared" si="6"/>
        <v>55783.199999999997</v>
      </c>
      <c r="M245" t="str">
        <f t="shared" si="7"/>
        <v>Excellent</v>
      </c>
    </row>
    <row r="246" spans="1:13" x14ac:dyDescent="0.3">
      <c r="A246" s="8">
        <v>1245</v>
      </c>
      <c r="B246" s="8" t="s">
        <v>55</v>
      </c>
      <c r="C246" s="8" t="s">
        <v>43</v>
      </c>
      <c r="D246" s="8" t="s">
        <v>34</v>
      </c>
      <c r="E246" s="8" t="s">
        <v>41</v>
      </c>
      <c r="F246" s="8">
        <v>19</v>
      </c>
      <c r="G246" s="8">
        <v>69029</v>
      </c>
      <c r="H246" s="8">
        <v>7</v>
      </c>
      <c r="I246" s="9">
        <v>46176</v>
      </c>
      <c r="J246" s="9">
        <v>46179</v>
      </c>
      <c r="K246" s="8" t="s">
        <v>29</v>
      </c>
      <c r="L246">
        <f t="shared" si="6"/>
        <v>1219742.43</v>
      </c>
      <c r="M246" t="str">
        <f t="shared" si="7"/>
        <v>Excellent</v>
      </c>
    </row>
    <row r="247" spans="1:13" x14ac:dyDescent="0.3">
      <c r="A247" s="8">
        <v>1246</v>
      </c>
      <c r="B247" s="8" t="s">
        <v>55</v>
      </c>
      <c r="C247" s="8" t="s">
        <v>22</v>
      </c>
      <c r="D247" s="8" t="s">
        <v>34</v>
      </c>
      <c r="E247" s="8" t="s">
        <v>35</v>
      </c>
      <c r="F247" s="8">
        <v>13</v>
      </c>
      <c r="G247" s="8">
        <v>1825</v>
      </c>
      <c r="H247" s="8">
        <v>2</v>
      </c>
      <c r="I247" s="9">
        <v>46039</v>
      </c>
      <c r="J247" s="9">
        <v>46045</v>
      </c>
      <c r="K247" s="8" t="s">
        <v>51</v>
      </c>
      <c r="L247">
        <f t="shared" si="6"/>
        <v>23250.5</v>
      </c>
      <c r="M247" t="str">
        <f t="shared" si="7"/>
        <v>Average</v>
      </c>
    </row>
    <row r="248" spans="1:13" x14ac:dyDescent="0.3">
      <c r="A248" s="8">
        <v>1247</v>
      </c>
      <c r="B248" s="8" t="s">
        <v>26</v>
      </c>
      <c r="C248" s="8" t="s">
        <v>12</v>
      </c>
      <c r="D248" s="8" t="s">
        <v>13</v>
      </c>
      <c r="E248" s="8" t="s">
        <v>50</v>
      </c>
      <c r="F248" s="8">
        <v>10</v>
      </c>
      <c r="G248" s="8">
        <v>336</v>
      </c>
      <c r="H248" s="8">
        <v>7</v>
      </c>
      <c r="I248" s="9">
        <v>46173</v>
      </c>
      <c r="J248" s="9">
        <v>46175</v>
      </c>
      <c r="K248" s="8" t="s">
        <v>20</v>
      </c>
      <c r="L248">
        <f t="shared" si="6"/>
        <v>3124.7999999999997</v>
      </c>
      <c r="M248" t="str">
        <f t="shared" si="7"/>
        <v>Excellent</v>
      </c>
    </row>
    <row r="249" spans="1:13" x14ac:dyDescent="0.3">
      <c r="A249" s="8">
        <v>1248</v>
      </c>
      <c r="B249" s="8" t="s">
        <v>27</v>
      </c>
      <c r="C249" s="8" t="s">
        <v>43</v>
      </c>
      <c r="D249" s="8" t="s">
        <v>13</v>
      </c>
      <c r="E249" s="8" t="s">
        <v>37</v>
      </c>
      <c r="F249" s="8">
        <v>5</v>
      </c>
      <c r="G249" s="8">
        <v>398</v>
      </c>
      <c r="H249" s="8">
        <v>7</v>
      </c>
      <c r="I249" s="9">
        <v>46161</v>
      </c>
      <c r="J249" s="9">
        <v>46171</v>
      </c>
      <c r="K249" s="8" t="s">
        <v>29</v>
      </c>
      <c r="L249">
        <f t="shared" si="6"/>
        <v>1850.6999999999998</v>
      </c>
      <c r="M249" t="str">
        <f t="shared" si="7"/>
        <v>Excellent</v>
      </c>
    </row>
    <row r="250" spans="1:13" x14ac:dyDescent="0.3">
      <c r="A250" s="8">
        <v>1249</v>
      </c>
      <c r="B250" s="8" t="s">
        <v>16</v>
      </c>
      <c r="C250" s="8" t="s">
        <v>25</v>
      </c>
      <c r="D250" s="8" t="s">
        <v>34</v>
      </c>
      <c r="E250" s="8" t="s">
        <v>41</v>
      </c>
      <c r="F250" s="8">
        <v>18</v>
      </c>
      <c r="G250" s="8">
        <v>6360</v>
      </c>
      <c r="H250" s="8">
        <v>12</v>
      </c>
      <c r="I250" s="9">
        <v>46163</v>
      </c>
      <c r="J250" s="9">
        <v>46165</v>
      </c>
      <c r="K250" s="8" t="s">
        <v>20</v>
      </c>
      <c r="L250">
        <f t="shared" si="6"/>
        <v>100742.39999999999</v>
      </c>
      <c r="M250" t="str">
        <f t="shared" si="7"/>
        <v>Excellent</v>
      </c>
    </row>
    <row r="251" spans="1:13" x14ac:dyDescent="0.3">
      <c r="A251" s="8">
        <v>1250</v>
      </c>
      <c r="B251" s="8" t="s">
        <v>11</v>
      </c>
      <c r="C251" s="8" t="s">
        <v>17</v>
      </c>
      <c r="D251" s="8" t="s">
        <v>34</v>
      </c>
      <c r="E251" s="8" t="s">
        <v>45</v>
      </c>
      <c r="F251" s="8">
        <v>2</v>
      </c>
      <c r="G251" s="8">
        <v>65953</v>
      </c>
      <c r="H251" s="8">
        <v>7</v>
      </c>
      <c r="I251" s="9">
        <v>46051</v>
      </c>
      <c r="J251" s="9">
        <v>46053</v>
      </c>
      <c r="K251" s="8" t="s">
        <v>29</v>
      </c>
      <c r="L251">
        <f t="shared" si="6"/>
        <v>122672.57999999999</v>
      </c>
      <c r="M251" t="str">
        <f t="shared" si="7"/>
        <v>Average</v>
      </c>
    </row>
    <row r="252" spans="1:13" x14ac:dyDescent="0.3">
      <c r="A252" s="8">
        <v>1251</v>
      </c>
      <c r="B252" s="8" t="s">
        <v>55</v>
      </c>
      <c r="C252" s="8" t="s">
        <v>38</v>
      </c>
      <c r="D252" s="8" t="s">
        <v>34</v>
      </c>
      <c r="E252" s="8" t="s">
        <v>61</v>
      </c>
      <c r="F252" s="8">
        <v>19</v>
      </c>
      <c r="G252" s="8">
        <v>48548</v>
      </c>
      <c r="H252" s="8">
        <v>0</v>
      </c>
      <c r="I252" s="9">
        <v>46112</v>
      </c>
      <c r="J252" s="9">
        <v>46121</v>
      </c>
      <c r="K252" s="8" t="s">
        <v>51</v>
      </c>
      <c r="L252">
        <f t="shared" si="6"/>
        <v>922412</v>
      </c>
      <c r="M252" t="str">
        <f t="shared" si="7"/>
        <v>Average</v>
      </c>
    </row>
    <row r="253" spans="1:13" x14ac:dyDescent="0.3">
      <c r="A253" s="8">
        <v>1252</v>
      </c>
      <c r="B253" s="8" t="s">
        <v>47</v>
      </c>
      <c r="C253" s="8" t="s">
        <v>25</v>
      </c>
      <c r="D253" s="8" t="s">
        <v>13</v>
      </c>
      <c r="E253" s="8" t="s">
        <v>36</v>
      </c>
      <c r="F253" s="8">
        <v>15</v>
      </c>
      <c r="G253" s="8">
        <v>257</v>
      </c>
      <c r="H253" s="8">
        <v>5</v>
      </c>
      <c r="I253" s="9">
        <v>46166</v>
      </c>
      <c r="J253" s="9">
        <v>46173</v>
      </c>
      <c r="K253" s="8" t="s">
        <v>20</v>
      </c>
      <c r="L253">
        <f t="shared" si="6"/>
        <v>3662.25</v>
      </c>
      <c r="M253" t="str">
        <f t="shared" si="7"/>
        <v>Average</v>
      </c>
    </row>
    <row r="254" spans="1:13" x14ac:dyDescent="0.3">
      <c r="A254" s="8">
        <v>1253</v>
      </c>
      <c r="B254" s="8" t="s">
        <v>21</v>
      </c>
      <c r="C254" s="8" t="s">
        <v>31</v>
      </c>
      <c r="D254" s="8" t="s">
        <v>34</v>
      </c>
      <c r="E254" s="8" t="s">
        <v>45</v>
      </c>
      <c r="F254" s="8">
        <v>20</v>
      </c>
      <c r="G254" s="8">
        <v>47880</v>
      </c>
      <c r="H254" s="8">
        <v>7</v>
      </c>
      <c r="I254" s="9">
        <v>46074</v>
      </c>
      <c r="J254" s="9">
        <v>46075</v>
      </c>
      <c r="K254" s="8" t="s">
        <v>29</v>
      </c>
      <c r="L254">
        <f t="shared" si="6"/>
        <v>890567.99999999988</v>
      </c>
      <c r="M254" t="str">
        <f t="shared" si="7"/>
        <v>Excellent</v>
      </c>
    </row>
    <row r="255" spans="1:13" x14ac:dyDescent="0.3">
      <c r="A255" s="8">
        <v>1254</v>
      </c>
      <c r="B255" s="8" t="s">
        <v>52</v>
      </c>
      <c r="C255" s="8" t="s">
        <v>22</v>
      </c>
      <c r="D255" s="8" t="s">
        <v>13</v>
      </c>
      <c r="E255" s="8" t="s">
        <v>50</v>
      </c>
      <c r="F255" s="8">
        <v>18</v>
      </c>
      <c r="G255" s="8">
        <v>447</v>
      </c>
      <c r="H255" s="8">
        <v>15</v>
      </c>
      <c r="I255" s="9">
        <v>46141</v>
      </c>
      <c r="J255" s="9">
        <v>46149</v>
      </c>
      <c r="K255" s="8" t="s">
        <v>24</v>
      </c>
      <c r="L255">
        <f t="shared" si="6"/>
        <v>6839.0999999999995</v>
      </c>
      <c r="M255" t="str">
        <f t="shared" si="7"/>
        <v>Average</v>
      </c>
    </row>
    <row r="256" spans="1:13" x14ac:dyDescent="0.3">
      <c r="A256" s="8">
        <v>1255</v>
      </c>
      <c r="B256" s="8" t="s">
        <v>32</v>
      </c>
      <c r="C256" s="8" t="s">
        <v>17</v>
      </c>
      <c r="D256" s="8" t="s">
        <v>18</v>
      </c>
      <c r="E256" s="8" t="s">
        <v>19</v>
      </c>
      <c r="F256" s="8">
        <v>1</v>
      </c>
      <c r="G256" s="8">
        <v>2240</v>
      </c>
      <c r="H256" s="8">
        <v>5</v>
      </c>
      <c r="I256" s="9">
        <v>46091</v>
      </c>
      <c r="J256" s="9">
        <v>46095</v>
      </c>
      <c r="K256" s="8" t="s">
        <v>20</v>
      </c>
      <c r="L256">
        <f t="shared" si="6"/>
        <v>2128</v>
      </c>
      <c r="M256" t="str">
        <f t="shared" si="7"/>
        <v>Excellent</v>
      </c>
    </row>
    <row r="257" spans="1:13" x14ac:dyDescent="0.3">
      <c r="A257" s="8">
        <v>1256</v>
      </c>
      <c r="B257" s="8" t="s">
        <v>48</v>
      </c>
      <c r="C257" s="8" t="s">
        <v>31</v>
      </c>
      <c r="D257" s="8" t="s">
        <v>13</v>
      </c>
      <c r="E257" s="8" t="s">
        <v>50</v>
      </c>
      <c r="F257" s="8">
        <v>19</v>
      </c>
      <c r="G257" s="8">
        <v>406</v>
      </c>
      <c r="H257" s="8">
        <v>7</v>
      </c>
      <c r="I257" s="9">
        <v>46057</v>
      </c>
      <c r="J257" s="9">
        <v>46061</v>
      </c>
      <c r="K257" s="8" t="s">
        <v>15</v>
      </c>
      <c r="L257">
        <f t="shared" si="6"/>
        <v>7174.0199999999995</v>
      </c>
      <c r="M257" t="str">
        <f t="shared" si="7"/>
        <v>Excellent</v>
      </c>
    </row>
    <row r="258" spans="1:13" x14ac:dyDescent="0.3">
      <c r="A258" s="8">
        <v>1257</v>
      </c>
      <c r="B258" s="8" t="s">
        <v>54</v>
      </c>
      <c r="C258" s="8" t="s">
        <v>25</v>
      </c>
      <c r="D258" s="8" t="s">
        <v>34</v>
      </c>
      <c r="E258" s="8" t="s">
        <v>61</v>
      </c>
      <c r="F258" s="8">
        <v>7</v>
      </c>
      <c r="G258" s="8">
        <v>53243</v>
      </c>
      <c r="H258" s="8">
        <v>12</v>
      </c>
      <c r="I258" s="9">
        <v>46161</v>
      </c>
      <c r="J258" s="9">
        <v>46171</v>
      </c>
      <c r="K258" s="8" t="s">
        <v>15</v>
      </c>
      <c r="L258">
        <f t="shared" si="6"/>
        <v>327976.88</v>
      </c>
      <c r="M258" t="str">
        <f t="shared" si="7"/>
        <v>Excellent</v>
      </c>
    </row>
    <row r="259" spans="1:13" x14ac:dyDescent="0.3">
      <c r="A259" s="8">
        <v>1258</v>
      </c>
      <c r="B259" s="8" t="s">
        <v>32</v>
      </c>
      <c r="C259" s="8" t="s">
        <v>31</v>
      </c>
      <c r="D259" s="8" t="s">
        <v>34</v>
      </c>
      <c r="E259" s="8" t="s">
        <v>60</v>
      </c>
      <c r="F259" s="8">
        <v>1</v>
      </c>
      <c r="G259" s="8">
        <v>10600</v>
      </c>
      <c r="H259" s="8">
        <v>5</v>
      </c>
      <c r="I259" s="9">
        <v>46137</v>
      </c>
      <c r="J259" s="9">
        <v>46138</v>
      </c>
      <c r="K259" s="8" t="s">
        <v>29</v>
      </c>
      <c r="L259">
        <f t="shared" ref="L259:L322" si="8">F259*G259*(1-H259/100)</f>
        <v>10070</v>
      </c>
      <c r="M259" t="str">
        <f t="shared" ref="M259:M322" si="9">IF(L258&lt;=100000, "Excellent", IF(L258&lt;=50000, "Very Good", IF(L258&lt;=20000, "Good", "Average")))</f>
        <v>Average</v>
      </c>
    </row>
    <row r="260" spans="1:13" x14ac:dyDescent="0.3">
      <c r="A260" s="8">
        <v>1259</v>
      </c>
      <c r="B260" s="8" t="s">
        <v>42</v>
      </c>
      <c r="C260" s="8" t="s">
        <v>22</v>
      </c>
      <c r="D260" s="8" t="s">
        <v>34</v>
      </c>
      <c r="E260" s="8" t="s">
        <v>45</v>
      </c>
      <c r="F260" s="8">
        <v>10</v>
      </c>
      <c r="G260" s="8">
        <v>38771</v>
      </c>
      <c r="H260" s="8">
        <v>15</v>
      </c>
      <c r="I260" s="9">
        <v>46172</v>
      </c>
      <c r="J260" s="9">
        <v>46182</v>
      </c>
      <c r="K260" s="8" t="s">
        <v>15</v>
      </c>
      <c r="L260">
        <f t="shared" si="8"/>
        <v>329553.5</v>
      </c>
      <c r="M260" t="str">
        <f t="shared" si="9"/>
        <v>Excellent</v>
      </c>
    </row>
    <row r="261" spans="1:13" x14ac:dyDescent="0.3">
      <c r="A261" s="8">
        <v>1260</v>
      </c>
      <c r="B261" s="8" t="s">
        <v>54</v>
      </c>
      <c r="C261" s="8" t="s">
        <v>38</v>
      </c>
      <c r="D261" s="8" t="s">
        <v>34</v>
      </c>
      <c r="E261" s="8" t="s">
        <v>41</v>
      </c>
      <c r="F261" s="8">
        <v>19</v>
      </c>
      <c r="G261" s="8">
        <v>54981</v>
      </c>
      <c r="H261" s="8">
        <v>10</v>
      </c>
      <c r="I261" s="9">
        <v>46040</v>
      </c>
      <c r="J261" s="9">
        <v>46045</v>
      </c>
      <c r="K261" s="8" t="s">
        <v>29</v>
      </c>
      <c r="L261">
        <f t="shared" si="8"/>
        <v>940175.1</v>
      </c>
      <c r="M261" t="str">
        <f t="shared" si="9"/>
        <v>Average</v>
      </c>
    </row>
    <row r="262" spans="1:13" x14ac:dyDescent="0.3">
      <c r="A262" s="8">
        <v>1261</v>
      </c>
      <c r="B262" s="8" t="s">
        <v>40</v>
      </c>
      <c r="C262" s="8" t="s">
        <v>17</v>
      </c>
      <c r="D262" s="8" t="s">
        <v>13</v>
      </c>
      <c r="E262" s="8" t="s">
        <v>50</v>
      </c>
      <c r="F262" s="8">
        <v>20</v>
      </c>
      <c r="G262" s="8">
        <v>162</v>
      </c>
      <c r="H262" s="8">
        <v>7</v>
      </c>
      <c r="I262" s="9">
        <v>46119</v>
      </c>
      <c r="J262" s="9">
        <v>46120</v>
      </c>
      <c r="K262" s="8" t="s">
        <v>51</v>
      </c>
      <c r="L262">
        <f t="shared" si="8"/>
        <v>3013.2</v>
      </c>
      <c r="M262" t="str">
        <f t="shared" si="9"/>
        <v>Average</v>
      </c>
    </row>
    <row r="263" spans="1:13" x14ac:dyDescent="0.3">
      <c r="A263" s="8">
        <v>1262</v>
      </c>
      <c r="B263" s="8" t="s">
        <v>16</v>
      </c>
      <c r="C263" s="8" t="s">
        <v>22</v>
      </c>
      <c r="D263" s="8" t="s">
        <v>18</v>
      </c>
      <c r="E263" s="8" t="s">
        <v>28</v>
      </c>
      <c r="F263" s="8">
        <v>9</v>
      </c>
      <c r="G263" s="8">
        <v>2231</v>
      </c>
      <c r="H263" s="8">
        <v>15</v>
      </c>
      <c r="I263" s="9">
        <v>46174</v>
      </c>
      <c r="J263" s="9">
        <v>46183</v>
      </c>
      <c r="K263" s="8" t="s">
        <v>15</v>
      </c>
      <c r="L263">
        <f t="shared" si="8"/>
        <v>17067.149999999998</v>
      </c>
      <c r="M263" t="str">
        <f t="shared" si="9"/>
        <v>Excellent</v>
      </c>
    </row>
    <row r="264" spans="1:13" x14ac:dyDescent="0.3">
      <c r="A264" s="8">
        <v>1263</v>
      </c>
      <c r="B264" s="8" t="s">
        <v>29</v>
      </c>
      <c r="C264" s="8" t="s">
        <v>38</v>
      </c>
      <c r="D264" s="8" t="s">
        <v>18</v>
      </c>
      <c r="E264" s="8" t="s">
        <v>28</v>
      </c>
      <c r="F264" s="8">
        <v>10</v>
      </c>
      <c r="G264" s="8">
        <v>1505</v>
      </c>
      <c r="H264" s="8">
        <v>0</v>
      </c>
      <c r="I264" s="9">
        <v>46130</v>
      </c>
      <c r="J264" s="9">
        <v>46138</v>
      </c>
      <c r="K264" s="8" t="s">
        <v>51</v>
      </c>
      <c r="L264">
        <f t="shared" si="8"/>
        <v>15050</v>
      </c>
      <c r="M264" t="str">
        <f t="shared" si="9"/>
        <v>Excellent</v>
      </c>
    </row>
    <row r="265" spans="1:13" x14ac:dyDescent="0.3">
      <c r="A265" s="8">
        <v>1264</v>
      </c>
      <c r="B265" s="8" t="s">
        <v>11</v>
      </c>
      <c r="C265" s="8" t="s">
        <v>22</v>
      </c>
      <c r="D265" s="8" t="s">
        <v>18</v>
      </c>
      <c r="E265" s="8" t="s">
        <v>28</v>
      </c>
      <c r="F265" s="8">
        <v>15</v>
      </c>
      <c r="G265" s="8">
        <v>6365</v>
      </c>
      <c r="H265" s="8">
        <v>10</v>
      </c>
      <c r="I265" s="9">
        <v>46200</v>
      </c>
      <c r="J265" s="9">
        <v>46206</v>
      </c>
      <c r="K265" s="8" t="s">
        <v>20</v>
      </c>
      <c r="L265">
        <f t="shared" si="8"/>
        <v>85927.5</v>
      </c>
      <c r="M265" t="str">
        <f t="shared" si="9"/>
        <v>Excellent</v>
      </c>
    </row>
    <row r="266" spans="1:13" x14ac:dyDescent="0.3">
      <c r="A266" s="8">
        <v>1265</v>
      </c>
      <c r="B266" s="8" t="s">
        <v>58</v>
      </c>
      <c r="C266" s="8" t="s">
        <v>22</v>
      </c>
      <c r="D266" s="8" t="s">
        <v>18</v>
      </c>
      <c r="E266" s="8" t="s">
        <v>19</v>
      </c>
      <c r="F266" s="8">
        <v>1</v>
      </c>
      <c r="G266" s="8">
        <v>1052</v>
      </c>
      <c r="H266" s="8">
        <v>7</v>
      </c>
      <c r="I266" s="9">
        <v>46117</v>
      </c>
      <c r="J266" s="9">
        <v>46127</v>
      </c>
      <c r="K266" s="8" t="s">
        <v>51</v>
      </c>
      <c r="L266">
        <f t="shared" si="8"/>
        <v>978.3599999999999</v>
      </c>
      <c r="M266" t="str">
        <f t="shared" si="9"/>
        <v>Excellent</v>
      </c>
    </row>
    <row r="267" spans="1:13" x14ac:dyDescent="0.3">
      <c r="A267" s="8">
        <v>1266</v>
      </c>
      <c r="B267" s="8" t="s">
        <v>29</v>
      </c>
      <c r="C267" s="8" t="s">
        <v>33</v>
      </c>
      <c r="D267" s="8" t="s">
        <v>13</v>
      </c>
      <c r="E267" s="8" t="s">
        <v>14</v>
      </c>
      <c r="F267" s="8">
        <v>17</v>
      </c>
      <c r="G267" s="8">
        <v>365</v>
      </c>
      <c r="H267" s="8">
        <v>2</v>
      </c>
      <c r="I267" s="9">
        <v>46096</v>
      </c>
      <c r="J267" s="9">
        <v>46104</v>
      </c>
      <c r="K267" s="8" t="s">
        <v>51</v>
      </c>
      <c r="L267">
        <f t="shared" si="8"/>
        <v>6080.9</v>
      </c>
      <c r="M267" t="str">
        <f t="shared" si="9"/>
        <v>Excellent</v>
      </c>
    </row>
    <row r="268" spans="1:13" x14ac:dyDescent="0.3">
      <c r="A268" s="8">
        <v>1267</v>
      </c>
      <c r="B268" s="8" t="s">
        <v>27</v>
      </c>
      <c r="C268" s="8" t="s">
        <v>38</v>
      </c>
      <c r="D268" s="8" t="s">
        <v>13</v>
      </c>
      <c r="E268" s="8" t="s">
        <v>50</v>
      </c>
      <c r="F268" s="8">
        <v>1</v>
      </c>
      <c r="G268" s="8">
        <v>50</v>
      </c>
      <c r="H268" s="8">
        <v>0</v>
      </c>
      <c r="I268" s="9">
        <v>46129</v>
      </c>
      <c r="J268" s="9">
        <v>46138</v>
      </c>
      <c r="K268" s="8" t="s">
        <v>20</v>
      </c>
      <c r="L268">
        <f t="shared" si="8"/>
        <v>50</v>
      </c>
      <c r="M268" t="str">
        <f t="shared" si="9"/>
        <v>Excellent</v>
      </c>
    </row>
    <row r="269" spans="1:13" x14ac:dyDescent="0.3">
      <c r="A269" s="8">
        <v>1268</v>
      </c>
      <c r="B269" s="8" t="s">
        <v>42</v>
      </c>
      <c r="C269" s="8" t="s">
        <v>38</v>
      </c>
      <c r="D269" s="8" t="s">
        <v>34</v>
      </c>
      <c r="E269" s="8" t="s">
        <v>45</v>
      </c>
      <c r="F269" s="8">
        <v>10</v>
      </c>
      <c r="G269" s="8">
        <v>46291</v>
      </c>
      <c r="H269" s="8">
        <v>12</v>
      </c>
      <c r="I269" s="9">
        <v>46199</v>
      </c>
      <c r="J269" s="9">
        <v>46202</v>
      </c>
      <c r="K269" s="8" t="s">
        <v>20</v>
      </c>
      <c r="L269">
        <f t="shared" si="8"/>
        <v>407360.8</v>
      </c>
      <c r="M269" t="str">
        <f t="shared" si="9"/>
        <v>Excellent</v>
      </c>
    </row>
    <row r="270" spans="1:13" x14ac:dyDescent="0.3">
      <c r="A270" s="8">
        <v>1269</v>
      </c>
      <c r="B270" s="8" t="s">
        <v>52</v>
      </c>
      <c r="C270" s="8" t="s">
        <v>43</v>
      </c>
      <c r="D270" s="8" t="s">
        <v>18</v>
      </c>
      <c r="E270" s="8" t="s">
        <v>19</v>
      </c>
      <c r="F270" s="8">
        <v>14</v>
      </c>
      <c r="G270" s="8">
        <v>5704</v>
      </c>
      <c r="H270" s="8">
        <v>2</v>
      </c>
      <c r="I270" s="9">
        <v>46129</v>
      </c>
      <c r="J270" s="9">
        <v>46131</v>
      </c>
      <c r="K270" s="8" t="s">
        <v>15</v>
      </c>
      <c r="L270">
        <f t="shared" si="8"/>
        <v>78258.880000000005</v>
      </c>
      <c r="M270" t="str">
        <f t="shared" si="9"/>
        <v>Average</v>
      </c>
    </row>
    <row r="271" spans="1:13" x14ac:dyDescent="0.3">
      <c r="A271" s="8">
        <v>1270</v>
      </c>
      <c r="B271" s="8" t="s">
        <v>49</v>
      </c>
      <c r="C271" s="8" t="s">
        <v>43</v>
      </c>
      <c r="D271" s="8" t="s">
        <v>34</v>
      </c>
      <c r="E271" s="8" t="s">
        <v>35</v>
      </c>
      <c r="F271" s="8">
        <v>16</v>
      </c>
      <c r="G271" s="8">
        <v>62941</v>
      </c>
      <c r="H271" s="8">
        <v>7</v>
      </c>
      <c r="I271" s="9">
        <v>46135</v>
      </c>
      <c r="J271" s="9">
        <v>46141</v>
      </c>
      <c r="K271" s="8" t="s">
        <v>51</v>
      </c>
      <c r="L271">
        <f t="shared" si="8"/>
        <v>936562.08</v>
      </c>
      <c r="M271" t="str">
        <f t="shared" si="9"/>
        <v>Excellent</v>
      </c>
    </row>
    <row r="272" spans="1:13" x14ac:dyDescent="0.3">
      <c r="A272" s="8">
        <v>1271</v>
      </c>
      <c r="B272" s="8" t="s">
        <v>40</v>
      </c>
      <c r="C272" s="8" t="s">
        <v>33</v>
      </c>
      <c r="D272" s="8" t="s">
        <v>34</v>
      </c>
      <c r="E272" s="8" t="s">
        <v>60</v>
      </c>
      <c r="F272" s="8">
        <v>20</v>
      </c>
      <c r="G272" s="8">
        <v>36941</v>
      </c>
      <c r="H272" s="8">
        <v>15</v>
      </c>
      <c r="I272" s="9">
        <v>46083</v>
      </c>
      <c r="J272" s="9">
        <v>46085</v>
      </c>
      <c r="K272" s="8" t="s">
        <v>29</v>
      </c>
      <c r="L272">
        <f t="shared" si="8"/>
        <v>627997</v>
      </c>
      <c r="M272" t="str">
        <f t="shared" si="9"/>
        <v>Average</v>
      </c>
    </row>
    <row r="273" spans="1:13" x14ac:dyDescent="0.3">
      <c r="A273" s="8">
        <v>1272</v>
      </c>
      <c r="B273" s="8" t="s">
        <v>52</v>
      </c>
      <c r="C273" s="8" t="s">
        <v>38</v>
      </c>
      <c r="D273" s="8" t="s">
        <v>34</v>
      </c>
      <c r="E273" s="8" t="s">
        <v>41</v>
      </c>
      <c r="F273" s="8">
        <v>13</v>
      </c>
      <c r="G273" s="8">
        <v>42179</v>
      </c>
      <c r="H273" s="8">
        <v>0</v>
      </c>
      <c r="I273" s="9">
        <v>46078</v>
      </c>
      <c r="J273" s="9">
        <v>46084</v>
      </c>
      <c r="K273" s="8" t="s">
        <v>20</v>
      </c>
      <c r="L273">
        <f t="shared" si="8"/>
        <v>548327</v>
      </c>
      <c r="M273" t="str">
        <f t="shared" si="9"/>
        <v>Average</v>
      </c>
    </row>
    <row r="274" spans="1:13" x14ac:dyDescent="0.3">
      <c r="A274" s="8">
        <v>1273</v>
      </c>
      <c r="B274" s="8" t="s">
        <v>46</v>
      </c>
      <c r="C274" s="8" t="s">
        <v>25</v>
      </c>
      <c r="D274" s="8" t="s">
        <v>34</v>
      </c>
      <c r="E274" s="8" t="s">
        <v>39</v>
      </c>
      <c r="F274" s="8">
        <v>12</v>
      </c>
      <c r="G274" s="8">
        <v>20618</v>
      </c>
      <c r="H274" s="8">
        <v>12</v>
      </c>
      <c r="I274" s="9">
        <v>46172</v>
      </c>
      <c r="J274" s="9">
        <v>46174</v>
      </c>
      <c r="K274" s="8" t="s">
        <v>20</v>
      </c>
      <c r="L274">
        <f t="shared" si="8"/>
        <v>217726.07999999999</v>
      </c>
      <c r="M274" t="str">
        <f t="shared" si="9"/>
        <v>Average</v>
      </c>
    </row>
    <row r="275" spans="1:13" x14ac:dyDescent="0.3">
      <c r="A275" s="8">
        <v>1274</v>
      </c>
      <c r="B275" s="8" t="s">
        <v>26</v>
      </c>
      <c r="C275" s="8" t="s">
        <v>25</v>
      </c>
      <c r="D275" s="8" t="s">
        <v>34</v>
      </c>
      <c r="E275" s="8" t="s">
        <v>41</v>
      </c>
      <c r="F275" s="8">
        <v>13</v>
      </c>
      <c r="G275" s="8">
        <v>36652</v>
      </c>
      <c r="H275" s="8">
        <v>12</v>
      </c>
      <c r="I275" s="9">
        <v>46179</v>
      </c>
      <c r="J275" s="9">
        <v>46186</v>
      </c>
      <c r="K275" s="8" t="s">
        <v>20</v>
      </c>
      <c r="L275">
        <f t="shared" si="8"/>
        <v>419298.88</v>
      </c>
      <c r="M275" t="str">
        <f t="shared" si="9"/>
        <v>Average</v>
      </c>
    </row>
    <row r="276" spans="1:13" x14ac:dyDescent="0.3">
      <c r="A276" s="8">
        <v>1275</v>
      </c>
      <c r="B276" s="8" t="s">
        <v>16</v>
      </c>
      <c r="C276" s="8" t="s">
        <v>31</v>
      </c>
      <c r="D276" s="8" t="s">
        <v>13</v>
      </c>
      <c r="E276" s="8" t="s">
        <v>50</v>
      </c>
      <c r="F276" s="8">
        <v>20</v>
      </c>
      <c r="G276" s="8">
        <v>451</v>
      </c>
      <c r="H276" s="8">
        <v>15</v>
      </c>
      <c r="I276" s="9">
        <v>46092</v>
      </c>
      <c r="J276" s="9">
        <v>46094</v>
      </c>
      <c r="K276" s="8" t="s">
        <v>20</v>
      </c>
      <c r="L276">
        <f t="shared" si="8"/>
        <v>7667</v>
      </c>
      <c r="M276" t="str">
        <f t="shared" si="9"/>
        <v>Average</v>
      </c>
    </row>
    <row r="277" spans="1:13" x14ac:dyDescent="0.3">
      <c r="A277" s="8">
        <v>1276</v>
      </c>
      <c r="B277" s="8" t="s">
        <v>40</v>
      </c>
      <c r="C277" s="8" t="s">
        <v>12</v>
      </c>
      <c r="D277" s="8" t="s">
        <v>18</v>
      </c>
      <c r="E277" s="8" t="s">
        <v>19</v>
      </c>
      <c r="F277" s="8">
        <v>1</v>
      </c>
      <c r="G277" s="8">
        <v>13437</v>
      </c>
      <c r="H277" s="8">
        <v>15</v>
      </c>
      <c r="I277" s="9">
        <v>46097</v>
      </c>
      <c r="J277" s="9">
        <v>46099</v>
      </c>
      <c r="K277" s="8" t="s">
        <v>24</v>
      </c>
      <c r="L277">
        <f t="shared" si="8"/>
        <v>11421.449999999999</v>
      </c>
      <c r="M277" t="str">
        <f t="shared" si="9"/>
        <v>Excellent</v>
      </c>
    </row>
    <row r="278" spans="1:13" x14ac:dyDescent="0.3">
      <c r="A278" s="8">
        <v>1277</v>
      </c>
      <c r="B278" s="8" t="s">
        <v>59</v>
      </c>
      <c r="C278" s="8" t="s">
        <v>17</v>
      </c>
      <c r="D278" s="8" t="s">
        <v>13</v>
      </c>
      <c r="E278" s="8" t="s">
        <v>36</v>
      </c>
      <c r="F278" s="8">
        <v>14</v>
      </c>
      <c r="G278" s="8">
        <v>276</v>
      </c>
      <c r="H278" s="8">
        <v>0</v>
      </c>
      <c r="I278" s="9">
        <v>46086</v>
      </c>
      <c r="J278" s="9">
        <v>46089</v>
      </c>
      <c r="K278" s="8" t="s">
        <v>15</v>
      </c>
      <c r="L278">
        <f t="shared" si="8"/>
        <v>3864</v>
      </c>
      <c r="M278" t="str">
        <f t="shared" si="9"/>
        <v>Excellent</v>
      </c>
    </row>
    <row r="279" spans="1:13" x14ac:dyDescent="0.3">
      <c r="A279" s="8">
        <v>1278</v>
      </c>
      <c r="B279" s="8" t="s">
        <v>47</v>
      </c>
      <c r="C279" s="8" t="s">
        <v>22</v>
      </c>
      <c r="D279" s="8" t="s">
        <v>34</v>
      </c>
      <c r="E279" s="8" t="s">
        <v>61</v>
      </c>
      <c r="F279" s="8">
        <v>4</v>
      </c>
      <c r="G279" s="8">
        <v>20639</v>
      </c>
      <c r="H279" s="8">
        <v>7</v>
      </c>
      <c r="I279" s="9">
        <v>46180</v>
      </c>
      <c r="J279" s="9">
        <v>46186</v>
      </c>
      <c r="K279" s="8" t="s">
        <v>20</v>
      </c>
      <c r="L279">
        <f t="shared" si="8"/>
        <v>76777.08</v>
      </c>
      <c r="M279" t="str">
        <f t="shared" si="9"/>
        <v>Excellent</v>
      </c>
    </row>
    <row r="280" spans="1:13" x14ac:dyDescent="0.3">
      <c r="A280" s="8">
        <v>1279</v>
      </c>
      <c r="B280" s="8" t="s">
        <v>55</v>
      </c>
      <c r="C280" s="8" t="s">
        <v>33</v>
      </c>
      <c r="D280" s="8" t="s">
        <v>34</v>
      </c>
      <c r="E280" s="8" t="s">
        <v>45</v>
      </c>
      <c r="F280" s="8">
        <v>20</v>
      </c>
      <c r="G280" s="8">
        <v>49042</v>
      </c>
      <c r="H280" s="8">
        <v>2</v>
      </c>
      <c r="I280" s="9">
        <v>46124</v>
      </c>
      <c r="J280" s="9">
        <v>46126</v>
      </c>
      <c r="K280" s="8" t="s">
        <v>15</v>
      </c>
      <c r="L280">
        <f t="shared" si="8"/>
        <v>961223.2</v>
      </c>
      <c r="M280" t="str">
        <f t="shared" si="9"/>
        <v>Excellent</v>
      </c>
    </row>
    <row r="281" spans="1:13" x14ac:dyDescent="0.3">
      <c r="A281" s="8">
        <v>1280</v>
      </c>
      <c r="B281" s="8" t="s">
        <v>59</v>
      </c>
      <c r="C281" s="8" t="s">
        <v>38</v>
      </c>
      <c r="D281" s="8" t="s">
        <v>13</v>
      </c>
      <c r="E281" s="8" t="s">
        <v>53</v>
      </c>
      <c r="F281" s="8">
        <v>9</v>
      </c>
      <c r="G281" s="8">
        <v>50</v>
      </c>
      <c r="H281" s="8">
        <v>7</v>
      </c>
      <c r="I281" s="9">
        <v>46085</v>
      </c>
      <c r="J281" s="9">
        <v>46095</v>
      </c>
      <c r="K281" s="8" t="s">
        <v>51</v>
      </c>
      <c r="L281">
        <f t="shared" si="8"/>
        <v>418.5</v>
      </c>
      <c r="M281" t="str">
        <f t="shared" si="9"/>
        <v>Average</v>
      </c>
    </row>
    <row r="282" spans="1:13" x14ac:dyDescent="0.3">
      <c r="A282" s="8">
        <v>1281</v>
      </c>
      <c r="B282" s="8" t="s">
        <v>55</v>
      </c>
      <c r="C282" s="8" t="s">
        <v>17</v>
      </c>
      <c r="D282" s="8" t="s">
        <v>13</v>
      </c>
      <c r="E282" s="8" t="s">
        <v>50</v>
      </c>
      <c r="F282" s="8">
        <v>6</v>
      </c>
      <c r="G282" s="8">
        <v>253</v>
      </c>
      <c r="H282" s="8">
        <v>0</v>
      </c>
      <c r="I282" s="9">
        <v>46055</v>
      </c>
      <c r="J282" s="9">
        <v>46063</v>
      </c>
      <c r="K282" s="8" t="s">
        <v>24</v>
      </c>
      <c r="L282">
        <f t="shared" si="8"/>
        <v>1518</v>
      </c>
      <c r="M282" t="str">
        <f t="shared" si="9"/>
        <v>Excellent</v>
      </c>
    </row>
    <row r="283" spans="1:13" x14ac:dyDescent="0.3">
      <c r="A283" s="8">
        <v>1282</v>
      </c>
      <c r="B283" s="8" t="s">
        <v>57</v>
      </c>
      <c r="C283" s="8" t="s">
        <v>43</v>
      </c>
      <c r="D283" s="8" t="s">
        <v>18</v>
      </c>
      <c r="E283" s="8" t="s">
        <v>44</v>
      </c>
      <c r="F283" s="8">
        <v>12</v>
      </c>
      <c r="G283" s="8">
        <v>3178</v>
      </c>
      <c r="H283" s="8">
        <v>10</v>
      </c>
      <c r="I283" s="9">
        <v>46176</v>
      </c>
      <c r="J283" s="9">
        <v>46177</v>
      </c>
      <c r="K283" s="8" t="s">
        <v>29</v>
      </c>
      <c r="L283">
        <f t="shared" si="8"/>
        <v>34322.400000000001</v>
      </c>
      <c r="M283" t="str">
        <f t="shared" si="9"/>
        <v>Excellent</v>
      </c>
    </row>
    <row r="284" spans="1:13" x14ac:dyDescent="0.3">
      <c r="A284" s="8">
        <v>1283</v>
      </c>
      <c r="B284" s="8" t="s">
        <v>40</v>
      </c>
      <c r="C284" s="8" t="s">
        <v>12</v>
      </c>
      <c r="D284" s="8" t="s">
        <v>18</v>
      </c>
      <c r="E284" s="8" t="s">
        <v>23</v>
      </c>
      <c r="F284" s="8">
        <v>6</v>
      </c>
      <c r="G284" s="8">
        <v>1167</v>
      </c>
      <c r="H284" s="8">
        <v>2</v>
      </c>
      <c r="I284" s="9">
        <v>46100</v>
      </c>
      <c r="J284" s="9">
        <v>46106</v>
      </c>
      <c r="K284" s="8" t="s">
        <v>15</v>
      </c>
      <c r="L284">
        <f t="shared" si="8"/>
        <v>6861.96</v>
      </c>
      <c r="M284" t="str">
        <f t="shared" si="9"/>
        <v>Excellent</v>
      </c>
    </row>
    <row r="285" spans="1:13" x14ac:dyDescent="0.3">
      <c r="A285" s="8">
        <v>1284</v>
      </c>
      <c r="B285" s="8" t="s">
        <v>40</v>
      </c>
      <c r="C285" s="8" t="s">
        <v>25</v>
      </c>
      <c r="D285" s="8" t="s">
        <v>13</v>
      </c>
      <c r="E285" s="8" t="s">
        <v>37</v>
      </c>
      <c r="F285" s="8">
        <v>16</v>
      </c>
      <c r="G285" s="8">
        <v>419</v>
      </c>
      <c r="H285" s="8">
        <v>2</v>
      </c>
      <c r="I285" s="9">
        <v>46082</v>
      </c>
      <c r="J285" s="9">
        <v>46090</v>
      </c>
      <c r="K285" s="8" t="s">
        <v>15</v>
      </c>
      <c r="L285">
        <f t="shared" si="8"/>
        <v>6569.92</v>
      </c>
      <c r="M285" t="str">
        <f t="shared" si="9"/>
        <v>Excellent</v>
      </c>
    </row>
    <row r="286" spans="1:13" x14ac:dyDescent="0.3">
      <c r="A286" s="8">
        <v>1285</v>
      </c>
      <c r="B286" s="8" t="s">
        <v>32</v>
      </c>
      <c r="C286" s="8" t="s">
        <v>38</v>
      </c>
      <c r="D286" s="8" t="s">
        <v>13</v>
      </c>
      <c r="E286" s="8" t="s">
        <v>36</v>
      </c>
      <c r="F286" s="8">
        <v>7</v>
      </c>
      <c r="G286" s="8">
        <v>439</v>
      </c>
      <c r="H286" s="8">
        <v>15</v>
      </c>
      <c r="I286" s="9">
        <v>46055</v>
      </c>
      <c r="J286" s="9">
        <v>46058</v>
      </c>
      <c r="K286" s="8" t="s">
        <v>20</v>
      </c>
      <c r="L286">
        <f t="shared" si="8"/>
        <v>2612.0499999999997</v>
      </c>
      <c r="M286" t="str">
        <f t="shared" si="9"/>
        <v>Excellent</v>
      </c>
    </row>
    <row r="287" spans="1:13" x14ac:dyDescent="0.3">
      <c r="A287" s="8">
        <v>1286</v>
      </c>
      <c r="B287" s="8" t="s">
        <v>46</v>
      </c>
      <c r="C287" s="8" t="s">
        <v>17</v>
      </c>
      <c r="D287" s="8" t="s">
        <v>18</v>
      </c>
      <c r="E287" s="8" t="s">
        <v>56</v>
      </c>
      <c r="F287" s="8">
        <v>9</v>
      </c>
      <c r="G287" s="8">
        <v>1340</v>
      </c>
      <c r="H287" s="8">
        <v>2</v>
      </c>
      <c r="I287" s="9">
        <v>46168</v>
      </c>
      <c r="J287" s="9">
        <v>46173</v>
      </c>
      <c r="K287" s="8" t="s">
        <v>15</v>
      </c>
      <c r="L287">
        <f t="shared" si="8"/>
        <v>11818.8</v>
      </c>
      <c r="M287" t="str">
        <f t="shared" si="9"/>
        <v>Excellent</v>
      </c>
    </row>
    <row r="288" spans="1:13" x14ac:dyDescent="0.3">
      <c r="A288" s="8">
        <v>1287</v>
      </c>
      <c r="B288" s="8" t="s">
        <v>59</v>
      </c>
      <c r="C288" s="8" t="s">
        <v>31</v>
      </c>
      <c r="D288" s="8" t="s">
        <v>13</v>
      </c>
      <c r="E288" s="8" t="s">
        <v>14</v>
      </c>
      <c r="F288" s="8">
        <v>15</v>
      </c>
      <c r="G288" s="8">
        <v>251</v>
      </c>
      <c r="H288" s="8">
        <v>2</v>
      </c>
      <c r="I288" s="9">
        <v>46116</v>
      </c>
      <c r="J288" s="9">
        <v>46122</v>
      </c>
      <c r="K288" s="8" t="s">
        <v>51</v>
      </c>
      <c r="L288">
        <f t="shared" si="8"/>
        <v>3689.7</v>
      </c>
      <c r="M288" t="str">
        <f t="shared" si="9"/>
        <v>Excellent</v>
      </c>
    </row>
    <row r="289" spans="1:13" x14ac:dyDescent="0.3">
      <c r="A289" s="8">
        <v>1288</v>
      </c>
      <c r="B289" s="8" t="s">
        <v>54</v>
      </c>
      <c r="C289" s="8" t="s">
        <v>22</v>
      </c>
      <c r="D289" s="8" t="s">
        <v>34</v>
      </c>
      <c r="E289" s="8" t="s">
        <v>60</v>
      </c>
      <c r="F289" s="8">
        <v>14</v>
      </c>
      <c r="G289" s="8">
        <v>35601</v>
      </c>
      <c r="H289" s="8">
        <v>10</v>
      </c>
      <c r="I289" s="9">
        <v>46179</v>
      </c>
      <c r="J289" s="9">
        <v>46187</v>
      </c>
      <c r="K289" s="8" t="s">
        <v>29</v>
      </c>
      <c r="L289">
        <f t="shared" si="8"/>
        <v>448572.60000000003</v>
      </c>
      <c r="M289" t="str">
        <f t="shared" si="9"/>
        <v>Excellent</v>
      </c>
    </row>
    <row r="290" spans="1:13" x14ac:dyDescent="0.3">
      <c r="A290" s="8">
        <v>1289</v>
      </c>
      <c r="B290" s="8" t="s">
        <v>26</v>
      </c>
      <c r="C290" s="8" t="s">
        <v>22</v>
      </c>
      <c r="D290" s="8" t="s">
        <v>34</v>
      </c>
      <c r="E290" s="8" t="s">
        <v>45</v>
      </c>
      <c r="F290" s="8">
        <v>19</v>
      </c>
      <c r="G290" s="8">
        <v>25336</v>
      </c>
      <c r="H290" s="8">
        <v>2</v>
      </c>
      <c r="I290" s="9">
        <v>46122</v>
      </c>
      <c r="J290" s="9">
        <v>46130</v>
      </c>
      <c r="K290" s="8" t="s">
        <v>24</v>
      </c>
      <c r="L290">
        <f t="shared" si="8"/>
        <v>471756.32</v>
      </c>
      <c r="M290" t="str">
        <f t="shared" si="9"/>
        <v>Average</v>
      </c>
    </row>
    <row r="291" spans="1:13" x14ac:dyDescent="0.3">
      <c r="A291" s="8">
        <v>1290</v>
      </c>
      <c r="B291" s="8" t="s">
        <v>26</v>
      </c>
      <c r="C291" s="8" t="s">
        <v>22</v>
      </c>
      <c r="D291" s="8" t="s">
        <v>34</v>
      </c>
      <c r="E291" s="8" t="s">
        <v>35</v>
      </c>
      <c r="F291" s="8">
        <v>3</v>
      </c>
      <c r="G291" s="8">
        <v>69793</v>
      </c>
      <c r="H291" s="8">
        <v>15</v>
      </c>
      <c r="I291" s="9">
        <v>46110</v>
      </c>
      <c r="J291" s="9">
        <v>46111</v>
      </c>
      <c r="K291" s="8" t="s">
        <v>29</v>
      </c>
      <c r="L291">
        <f t="shared" si="8"/>
        <v>177972.15</v>
      </c>
      <c r="M291" t="str">
        <f t="shared" si="9"/>
        <v>Average</v>
      </c>
    </row>
    <row r="292" spans="1:13" x14ac:dyDescent="0.3">
      <c r="A292" s="8">
        <v>1291</v>
      </c>
      <c r="B292" s="8" t="s">
        <v>21</v>
      </c>
      <c r="C292" s="8" t="s">
        <v>17</v>
      </c>
      <c r="D292" s="8" t="s">
        <v>13</v>
      </c>
      <c r="E292" s="8" t="s">
        <v>36</v>
      </c>
      <c r="F292" s="8">
        <v>17</v>
      </c>
      <c r="G292" s="8">
        <v>415</v>
      </c>
      <c r="H292" s="8">
        <v>5</v>
      </c>
      <c r="I292" s="9">
        <v>46137</v>
      </c>
      <c r="J292" s="9">
        <v>46141</v>
      </c>
      <c r="K292" s="8" t="s">
        <v>20</v>
      </c>
      <c r="L292">
        <f t="shared" si="8"/>
        <v>6702.25</v>
      </c>
      <c r="M292" t="str">
        <f t="shared" si="9"/>
        <v>Average</v>
      </c>
    </row>
    <row r="293" spans="1:13" x14ac:dyDescent="0.3">
      <c r="A293" s="8">
        <v>1292</v>
      </c>
      <c r="B293" s="8" t="s">
        <v>54</v>
      </c>
      <c r="C293" s="8" t="s">
        <v>33</v>
      </c>
      <c r="D293" s="8" t="s">
        <v>34</v>
      </c>
      <c r="E293" s="8" t="s">
        <v>61</v>
      </c>
      <c r="F293" s="8">
        <v>11</v>
      </c>
      <c r="G293" s="8">
        <v>25158</v>
      </c>
      <c r="H293" s="8">
        <v>5</v>
      </c>
      <c r="I293" s="9">
        <v>46186</v>
      </c>
      <c r="J293" s="9">
        <v>46193</v>
      </c>
      <c r="K293" s="8" t="s">
        <v>20</v>
      </c>
      <c r="L293">
        <f t="shared" si="8"/>
        <v>262901.09999999998</v>
      </c>
      <c r="M293" t="str">
        <f t="shared" si="9"/>
        <v>Excellent</v>
      </c>
    </row>
    <row r="294" spans="1:13" x14ac:dyDescent="0.3">
      <c r="A294" s="8">
        <v>1293</v>
      </c>
      <c r="B294" s="8" t="s">
        <v>49</v>
      </c>
      <c r="C294" s="8" t="s">
        <v>43</v>
      </c>
      <c r="D294" s="8" t="s">
        <v>18</v>
      </c>
      <c r="E294" s="8" t="s">
        <v>23</v>
      </c>
      <c r="F294" s="8">
        <v>7</v>
      </c>
      <c r="G294" s="8">
        <v>11481</v>
      </c>
      <c r="H294" s="8">
        <v>15</v>
      </c>
      <c r="I294" s="9">
        <v>46045</v>
      </c>
      <c r="J294" s="9">
        <v>46050</v>
      </c>
      <c r="K294" s="8" t="s">
        <v>20</v>
      </c>
      <c r="L294">
        <f t="shared" si="8"/>
        <v>68311.95</v>
      </c>
      <c r="M294" t="str">
        <f t="shared" si="9"/>
        <v>Average</v>
      </c>
    </row>
    <row r="295" spans="1:13" x14ac:dyDescent="0.3">
      <c r="A295" s="8">
        <v>1294</v>
      </c>
      <c r="B295" s="8" t="s">
        <v>21</v>
      </c>
      <c r="C295" s="8" t="s">
        <v>12</v>
      </c>
      <c r="D295" s="8" t="s">
        <v>18</v>
      </c>
      <c r="E295" s="8" t="s">
        <v>19</v>
      </c>
      <c r="F295" s="8">
        <v>8</v>
      </c>
      <c r="G295" s="8">
        <v>14448</v>
      </c>
      <c r="H295" s="8">
        <v>10</v>
      </c>
      <c r="I295" s="9">
        <v>46181</v>
      </c>
      <c r="J295" s="9">
        <v>46189</v>
      </c>
      <c r="K295" s="8" t="s">
        <v>15</v>
      </c>
      <c r="L295">
        <f t="shared" si="8"/>
        <v>104025.60000000001</v>
      </c>
      <c r="M295" t="str">
        <f t="shared" si="9"/>
        <v>Excellent</v>
      </c>
    </row>
    <row r="296" spans="1:13" x14ac:dyDescent="0.3">
      <c r="A296" s="8">
        <v>1295</v>
      </c>
      <c r="B296" s="8" t="s">
        <v>52</v>
      </c>
      <c r="C296" s="8" t="s">
        <v>38</v>
      </c>
      <c r="D296" s="8" t="s">
        <v>18</v>
      </c>
      <c r="E296" s="8" t="s">
        <v>28</v>
      </c>
      <c r="F296" s="8">
        <v>16</v>
      </c>
      <c r="G296" s="8">
        <v>11935</v>
      </c>
      <c r="H296" s="8">
        <v>12</v>
      </c>
      <c r="I296" s="9">
        <v>46157</v>
      </c>
      <c r="J296" s="9">
        <v>46162</v>
      </c>
      <c r="K296" s="8" t="s">
        <v>15</v>
      </c>
      <c r="L296">
        <f t="shared" si="8"/>
        <v>168044.79999999999</v>
      </c>
      <c r="M296" t="str">
        <f t="shared" si="9"/>
        <v>Average</v>
      </c>
    </row>
    <row r="297" spans="1:13" x14ac:dyDescent="0.3">
      <c r="A297" s="8">
        <v>1296</v>
      </c>
      <c r="B297" s="8" t="s">
        <v>26</v>
      </c>
      <c r="C297" s="8" t="s">
        <v>38</v>
      </c>
      <c r="D297" s="8" t="s">
        <v>13</v>
      </c>
      <c r="E297" s="8" t="s">
        <v>50</v>
      </c>
      <c r="F297" s="8">
        <v>6</v>
      </c>
      <c r="G297" s="8">
        <v>201</v>
      </c>
      <c r="H297" s="8">
        <v>0</v>
      </c>
      <c r="I297" s="9">
        <v>46063</v>
      </c>
      <c r="J297" s="9">
        <v>46072</v>
      </c>
      <c r="K297" s="8" t="s">
        <v>51</v>
      </c>
      <c r="L297">
        <f t="shared" si="8"/>
        <v>1206</v>
      </c>
      <c r="M297" t="str">
        <f t="shared" si="9"/>
        <v>Average</v>
      </c>
    </row>
    <row r="298" spans="1:13" x14ac:dyDescent="0.3">
      <c r="A298" s="8">
        <v>1297</v>
      </c>
      <c r="B298" s="8" t="s">
        <v>54</v>
      </c>
      <c r="C298" s="8" t="s">
        <v>25</v>
      </c>
      <c r="D298" s="8" t="s">
        <v>34</v>
      </c>
      <c r="E298" s="8" t="s">
        <v>35</v>
      </c>
      <c r="F298" s="8">
        <v>14</v>
      </c>
      <c r="G298" s="8">
        <v>24524</v>
      </c>
      <c r="H298" s="8">
        <v>10</v>
      </c>
      <c r="I298" s="9">
        <v>46178</v>
      </c>
      <c r="J298" s="9">
        <v>46187</v>
      </c>
      <c r="K298" s="8" t="s">
        <v>29</v>
      </c>
      <c r="L298">
        <f t="shared" si="8"/>
        <v>309002.40000000002</v>
      </c>
      <c r="M298" t="str">
        <f t="shared" si="9"/>
        <v>Excellent</v>
      </c>
    </row>
    <row r="299" spans="1:13" x14ac:dyDescent="0.3">
      <c r="A299" s="8">
        <v>1298</v>
      </c>
      <c r="B299" s="8" t="s">
        <v>21</v>
      </c>
      <c r="C299" s="8" t="s">
        <v>12</v>
      </c>
      <c r="D299" s="8" t="s">
        <v>34</v>
      </c>
      <c r="E299" s="8" t="s">
        <v>61</v>
      </c>
      <c r="F299" s="8">
        <v>19</v>
      </c>
      <c r="G299" s="8">
        <v>20745</v>
      </c>
      <c r="H299" s="8">
        <v>2</v>
      </c>
      <c r="I299" s="9">
        <v>46083</v>
      </c>
      <c r="J299" s="9">
        <v>46093</v>
      </c>
      <c r="K299" s="8" t="s">
        <v>24</v>
      </c>
      <c r="L299">
        <f t="shared" si="8"/>
        <v>386271.89999999997</v>
      </c>
      <c r="M299" t="str">
        <f t="shared" si="9"/>
        <v>Average</v>
      </c>
    </row>
    <row r="300" spans="1:13" x14ac:dyDescent="0.3">
      <c r="A300" s="8">
        <v>1299</v>
      </c>
      <c r="B300" s="8" t="s">
        <v>26</v>
      </c>
      <c r="C300" s="8" t="s">
        <v>17</v>
      </c>
      <c r="D300" s="8" t="s">
        <v>18</v>
      </c>
      <c r="E300" s="8" t="s">
        <v>56</v>
      </c>
      <c r="F300" s="8">
        <v>8</v>
      </c>
      <c r="G300" s="8">
        <v>8783</v>
      </c>
      <c r="H300" s="8">
        <v>2</v>
      </c>
      <c r="I300" s="9">
        <v>46123</v>
      </c>
      <c r="J300" s="9">
        <v>46132</v>
      </c>
      <c r="K300" s="8" t="s">
        <v>15</v>
      </c>
      <c r="L300">
        <f t="shared" si="8"/>
        <v>68858.720000000001</v>
      </c>
      <c r="M300" t="str">
        <f t="shared" si="9"/>
        <v>Average</v>
      </c>
    </row>
    <row r="301" spans="1:13" x14ac:dyDescent="0.3">
      <c r="A301" s="8">
        <v>1300</v>
      </c>
      <c r="B301" s="8" t="s">
        <v>47</v>
      </c>
      <c r="C301" s="8" t="s">
        <v>33</v>
      </c>
      <c r="D301" s="8" t="s">
        <v>34</v>
      </c>
      <c r="E301" s="8" t="s">
        <v>45</v>
      </c>
      <c r="F301" s="8">
        <v>20</v>
      </c>
      <c r="G301" s="8">
        <v>1392</v>
      </c>
      <c r="H301" s="8">
        <v>2</v>
      </c>
      <c r="I301" s="9">
        <v>46110</v>
      </c>
      <c r="J301" s="9">
        <v>46117</v>
      </c>
      <c r="K301" s="8" t="s">
        <v>24</v>
      </c>
      <c r="L301">
        <f t="shared" si="8"/>
        <v>27283.200000000001</v>
      </c>
      <c r="M301" t="str">
        <f t="shared" si="9"/>
        <v>Excellent</v>
      </c>
    </row>
    <row r="302" spans="1:13" x14ac:dyDescent="0.3">
      <c r="A302" s="8">
        <v>1301</v>
      </c>
      <c r="B302" s="8" t="s">
        <v>54</v>
      </c>
      <c r="C302" s="8" t="s">
        <v>17</v>
      </c>
      <c r="D302" s="8" t="s">
        <v>18</v>
      </c>
      <c r="E302" s="8" t="s">
        <v>28</v>
      </c>
      <c r="F302" s="8">
        <v>3</v>
      </c>
      <c r="G302" s="8">
        <v>7020</v>
      </c>
      <c r="H302" s="8">
        <v>10</v>
      </c>
      <c r="I302" s="9">
        <v>46028</v>
      </c>
      <c r="J302" s="9">
        <v>46038</v>
      </c>
      <c r="K302" s="8" t="s">
        <v>24</v>
      </c>
      <c r="L302">
        <f t="shared" si="8"/>
        <v>18954</v>
      </c>
      <c r="M302" t="str">
        <f t="shared" si="9"/>
        <v>Excellent</v>
      </c>
    </row>
    <row r="303" spans="1:13" x14ac:dyDescent="0.3">
      <c r="A303" s="8">
        <v>1302</v>
      </c>
      <c r="B303" s="8" t="s">
        <v>57</v>
      </c>
      <c r="C303" s="8" t="s">
        <v>12</v>
      </c>
      <c r="D303" s="8" t="s">
        <v>34</v>
      </c>
      <c r="E303" s="8" t="s">
        <v>35</v>
      </c>
      <c r="F303" s="8">
        <v>9</v>
      </c>
      <c r="G303" s="8">
        <v>8500</v>
      </c>
      <c r="H303" s="8">
        <v>15</v>
      </c>
      <c r="I303" s="9">
        <v>46163</v>
      </c>
      <c r="J303" s="9">
        <v>46172</v>
      </c>
      <c r="K303" s="8" t="s">
        <v>24</v>
      </c>
      <c r="L303">
        <f t="shared" si="8"/>
        <v>65025</v>
      </c>
      <c r="M303" t="str">
        <f t="shared" si="9"/>
        <v>Excellent</v>
      </c>
    </row>
    <row r="304" spans="1:13" x14ac:dyDescent="0.3">
      <c r="A304" s="8">
        <v>1303</v>
      </c>
      <c r="B304" s="8" t="s">
        <v>57</v>
      </c>
      <c r="C304" s="8" t="s">
        <v>38</v>
      </c>
      <c r="D304" s="8" t="s">
        <v>34</v>
      </c>
      <c r="E304" s="8" t="s">
        <v>35</v>
      </c>
      <c r="F304" s="8">
        <v>13</v>
      </c>
      <c r="G304" s="8">
        <v>5170</v>
      </c>
      <c r="H304" s="8">
        <v>2</v>
      </c>
      <c r="I304" s="9">
        <v>46124</v>
      </c>
      <c r="J304" s="9">
        <v>46127</v>
      </c>
      <c r="K304" s="8" t="s">
        <v>15</v>
      </c>
      <c r="L304">
        <f t="shared" si="8"/>
        <v>65865.8</v>
      </c>
      <c r="M304" t="str">
        <f t="shared" si="9"/>
        <v>Excellent</v>
      </c>
    </row>
    <row r="305" spans="1:13" x14ac:dyDescent="0.3">
      <c r="A305" s="8">
        <v>1304</v>
      </c>
      <c r="B305" s="8" t="s">
        <v>59</v>
      </c>
      <c r="C305" s="8" t="s">
        <v>25</v>
      </c>
      <c r="D305" s="8" t="s">
        <v>13</v>
      </c>
      <c r="E305" s="8" t="s">
        <v>36</v>
      </c>
      <c r="F305" s="8">
        <v>20</v>
      </c>
      <c r="G305" s="8">
        <v>368</v>
      </c>
      <c r="H305" s="8">
        <v>7</v>
      </c>
      <c r="I305" s="9">
        <v>46042</v>
      </c>
      <c r="J305" s="9">
        <v>46051</v>
      </c>
      <c r="K305" s="8" t="s">
        <v>51</v>
      </c>
      <c r="L305">
        <f t="shared" si="8"/>
        <v>6844.7999999999993</v>
      </c>
      <c r="M305" t="str">
        <f t="shared" si="9"/>
        <v>Excellent</v>
      </c>
    </row>
    <row r="306" spans="1:13" x14ac:dyDescent="0.3">
      <c r="A306" s="8">
        <v>1305</v>
      </c>
      <c r="B306" s="8" t="s">
        <v>58</v>
      </c>
      <c r="C306" s="8" t="s">
        <v>31</v>
      </c>
      <c r="D306" s="8" t="s">
        <v>34</v>
      </c>
      <c r="E306" s="8" t="s">
        <v>60</v>
      </c>
      <c r="F306" s="8">
        <v>20</v>
      </c>
      <c r="G306" s="8">
        <v>31406</v>
      </c>
      <c r="H306" s="8">
        <v>15</v>
      </c>
      <c r="I306" s="9">
        <v>46146</v>
      </c>
      <c r="J306" s="9">
        <v>46154</v>
      </c>
      <c r="K306" s="8" t="s">
        <v>51</v>
      </c>
      <c r="L306">
        <f t="shared" si="8"/>
        <v>533902</v>
      </c>
      <c r="M306" t="str">
        <f t="shared" si="9"/>
        <v>Excellent</v>
      </c>
    </row>
    <row r="307" spans="1:13" x14ac:dyDescent="0.3">
      <c r="A307" s="8">
        <v>1306</v>
      </c>
      <c r="B307" s="8" t="s">
        <v>54</v>
      </c>
      <c r="C307" s="8" t="s">
        <v>43</v>
      </c>
      <c r="D307" s="8" t="s">
        <v>13</v>
      </c>
      <c r="E307" s="8" t="s">
        <v>36</v>
      </c>
      <c r="F307" s="8">
        <v>1</v>
      </c>
      <c r="G307" s="8">
        <v>332</v>
      </c>
      <c r="H307" s="8">
        <v>0</v>
      </c>
      <c r="I307" s="9">
        <v>46191</v>
      </c>
      <c r="J307" s="9">
        <v>46194</v>
      </c>
      <c r="K307" s="8" t="s">
        <v>20</v>
      </c>
      <c r="L307">
        <f t="shared" si="8"/>
        <v>332</v>
      </c>
      <c r="M307" t="str">
        <f t="shared" si="9"/>
        <v>Average</v>
      </c>
    </row>
    <row r="308" spans="1:13" x14ac:dyDescent="0.3">
      <c r="A308" s="8">
        <v>1307</v>
      </c>
      <c r="B308" s="8" t="s">
        <v>57</v>
      </c>
      <c r="C308" s="8" t="s">
        <v>43</v>
      </c>
      <c r="D308" s="8" t="s">
        <v>34</v>
      </c>
      <c r="E308" s="8" t="s">
        <v>35</v>
      </c>
      <c r="F308" s="8">
        <v>18</v>
      </c>
      <c r="G308" s="8">
        <v>7541</v>
      </c>
      <c r="H308" s="8">
        <v>12</v>
      </c>
      <c r="I308" s="9">
        <v>46048</v>
      </c>
      <c r="J308" s="9">
        <v>46051</v>
      </c>
      <c r="K308" s="8" t="s">
        <v>51</v>
      </c>
      <c r="L308">
        <f t="shared" si="8"/>
        <v>119449.44</v>
      </c>
      <c r="M308" t="str">
        <f t="shared" si="9"/>
        <v>Excellent</v>
      </c>
    </row>
    <row r="309" spans="1:13" x14ac:dyDescent="0.3">
      <c r="A309" s="8">
        <v>1308</v>
      </c>
      <c r="B309" s="8" t="s">
        <v>30</v>
      </c>
      <c r="C309" s="8" t="s">
        <v>22</v>
      </c>
      <c r="D309" s="8" t="s">
        <v>34</v>
      </c>
      <c r="E309" s="8" t="s">
        <v>41</v>
      </c>
      <c r="F309" s="8">
        <v>12</v>
      </c>
      <c r="G309" s="8">
        <v>66075</v>
      </c>
      <c r="H309" s="8">
        <v>5</v>
      </c>
      <c r="I309" s="9">
        <v>46129</v>
      </c>
      <c r="J309" s="9">
        <v>46135</v>
      </c>
      <c r="K309" s="8" t="s">
        <v>20</v>
      </c>
      <c r="L309">
        <f t="shared" si="8"/>
        <v>753255</v>
      </c>
      <c r="M309" t="str">
        <f t="shared" si="9"/>
        <v>Average</v>
      </c>
    </row>
    <row r="310" spans="1:13" x14ac:dyDescent="0.3">
      <c r="A310" s="8">
        <v>1309</v>
      </c>
      <c r="B310" s="8" t="s">
        <v>29</v>
      </c>
      <c r="C310" s="8" t="s">
        <v>31</v>
      </c>
      <c r="D310" s="8" t="s">
        <v>13</v>
      </c>
      <c r="E310" s="8" t="s">
        <v>50</v>
      </c>
      <c r="F310" s="8">
        <v>2</v>
      </c>
      <c r="G310" s="8">
        <v>35</v>
      </c>
      <c r="H310" s="8">
        <v>5</v>
      </c>
      <c r="I310" s="9">
        <v>46197</v>
      </c>
      <c r="J310" s="9">
        <v>46198</v>
      </c>
      <c r="K310" s="8" t="s">
        <v>24</v>
      </c>
      <c r="L310">
        <f t="shared" si="8"/>
        <v>66.5</v>
      </c>
      <c r="M310" t="str">
        <f t="shared" si="9"/>
        <v>Average</v>
      </c>
    </row>
    <row r="311" spans="1:13" x14ac:dyDescent="0.3">
      <c r="A311" s="8">
        <v>1310</v>
      </c>
      <c r="B311" s="8" t="s">
        <v>49</v>
      </c>
      <c r="C311" s="8" t="s">
        <v>17</v>
      </c>
      <c r="D311" s="8" t="s">
        <v>18</v>
      </c>
      <c r="E311" s="8" t="s">
        <v>56</v>
      </c>
      <c r="F311" s="8">
        <v>19</v>
      </c>
      <c r="G311" s="8">
        <v>12691</v>
      </c>
      <c r="H311" s="8">
        <v>0</v>
      </c>
      <c r="I311" s="9">
        <v>46181</v>
      </c>
      <c r="J311" s="9">
        <v>46189</v>
      </c>
      <c r="K311" s="8" t="s">
        <v>29</v>
      </c>
      <c r="L311">
        <f t="shared" si="8"/>
        <v>241129</v>
      </c>
      <c r="M311" t="str">
        <f t="shared" si="9"/>
        <v>Excellent</v>
      </c>
    </row>
    <row r="312" spans="1:13" x14ac:dyDescent="0.3">
      <c r="A312" s="8">
        <v>1311</v>
      </c>
      <c r="B312" s="8" t="s">
        <v>55</v>
      </c>
      <c r="C312" s="8" t="s">
        <v>12</v>
      </c>
      <c r="D312" s="8" t="s">
        <v>13</v>
      </c>
      <c r="E312" s="8" t="s">
        <v>14</v>
      </c>
      <c r="F312" s="8">
        <v>2</v>
      </c>
      <c r="G312" s="8">
        <v>209</v>
      </c>
      <c r="H312" s="8">
        <v>0</v>
      </c>
      <c r="I312" s="9">
        <v>46173</v>
      </c>
      <c r="J312" s="9">
        <v>46176</v>
      </c>
      <c r="K312" s="8" t="s">
        <v>20</v>
      </c>
      <c r="L312">
        <f t="shared" si="8"/>
        <v>418</v>
      </c>
      <c r="M312" t="str">
        <f t="shared" si="9"/>
        <v>Average</v>
      </c>
    </row>
    <row r="313" spans="1:13" x14ac:dyDescent="0.3">
      <c r="A313" s="8">
        <v>1312</v>
      </c>
      <c r="B313" s="8" t="s">
        <v>57</v>
      </c>
      <c r="C313" s="8" t="s">
        <v>22</v>
      </c>
      <c r="D313" s="8" t="s">
        <v>18</v>
      </c>
      <c r="E313" s="8" t="s">
        <v>56</v>
      </c>
      <c r="F313" s="8">
        <v>20</v>
      </c>
      <c r="G313" s="8">
        <v>3274</v>
      </c>
      <c r="H313" s="8">
        <v>2</v>
      </c>
      <c r="I313" s="9">
        <v>46148</v>
      </c>
      <c r="J313" s="9">
        <v>46156</v>
      </c>
      <c r="K313" s="8" t="s">
        <v>24</v>
      </c>
      <c r="L313">
        <f t="shared" si="8"/>
        <v>64170.400000000001</v>
      </c>
      <c r="M313" t="str">
        <f t="shared" si="9"/>
        <v>Excellent</v>
      </c>
    </row>
    <row r="314" spans="1:13" x14ac:dyDescent="0.3">
      <c r="A314" s="8">
        <v>1313</v>
      </c>
      <c r="B314" s="8" t="s">
        <v>59</v>
      </c>
      <c r="C314" s="8" t="s">
        <v>22</v>
      </c>
      <c r="D314" s="8" t="s">
        <v>18</v>
      </c>
      <c r="E314" s="8" t="s">
        <v>56</v>
      </c>
      <c r="F314" s="8">
        <v>6</v>
      </c>
      <c r="G314" s="8">
        <v>10864</v>
      </c>
      <c r="H314" s="8">
        <v>10</v>
      </c>
      <c r="I314" s="9">
        <v>46041</v>
      </c>
      <c r="J314" s="9">
        <v>46049</v>
      </c>
      <c r="K314" s="8" t="s">
        <v>15</v>
      </c>
      <c r="L314">
        <f t="shared" si="8"/>
        <v>58665.599999999999</v>
      </c>
      <c r="M314" t="str">
        <f t="shared" si="9"/>
        <v>Excellent</v>
      </c>
    </row>
    <row r="315" spans="1:13" x14ac:dyDescent="0.3">
      <c r="A315" s="8">
        <v>1314</v>
      </c>
      <c r="B315" s="8" t="s">
        <v>52</v>
      </c>
      <c r="C315" s="8" t="s">
        <v>33</v>
      </c>
      <c r="D315" s="8" t="s">
        <v>18</v>
      </c>
      <c r="E315" s="8" t="s">
        <v>19</v>
      </c>
      <c r="F315" s="8">
        <v>10</v>
      </c>
      <c r="G315" s="8">
        <v>6328</v>
      </c>
      <c r="H315" s="8">
        <v>2</v>
      </c>
      <c r="I315" s="9">
        <v>46196</v>
      </c>
      <c r="J315" s="9">
        <v>46197</v>
      </c>
      <c r="K315" s="8" t="s">
        <v>29</v>
      </c>
      <c r="L315">
        <f t="shared" si="8"/>
        <v>62014.400000000001</v>
      </c>
      <c r="M315" t="str">
        <f t="shared" si="9"/>
        <v>Excellent</v>
      </c>
    </row>
    <row r="316" spans="1:13" x14ac:dyDescent="0.3">
      <c r="A316" s="8">
        <v>1315</v>
      </c>
      <c r="B316" s="8" t="s">
        <v>49</v>
      </c>
      <c r="C316" s="8" t="s">
        <v>31</v>
      </c>
      <c r="D316" s="8" t="s">
        <v>34</v>
      </c>
      <c r="E316" s="8" t="s">
        <v>41</v>
      </c>
      <c r="F316" s="8">
        <v>14</v>
      </c>
      <c r="G316" s="8">
        <v>57670</v>
      </c>
      <c r="H316" s="8">
        <v>2</v>
      </c>
      <c r="I316" s="9">
        <v>46186</v>
      </c>
      <c r="J316" s="9">
        <v>46196</v>
      </c>
      <c r="K316" s="8" t="s">
        <v>15</v>
      </c>
      <c r="L316">
        <f t="shared" si="8"/>
        <v>791232.4</v>
      </c>
      <c r="M316" t="str">
        <f t="shared" si="9"/>
        <v>Excellent</v>
      </c>
    </row>
    <row r="317" spans="1:13" x14ac:dyDescent="0.3">
      <c r="A317" s="8">
        <v>1316</v>
      </c>
      <c r="B317" s="8" t="s">
        <v>46</v>
      </c>
      <c r="C317" s="8" t="s">
        <v>12</v>
      </c>
      <c r="D317" s="8" t="s">
        <v>18</v>
      </c>
      <c r="E317" s="8" t="s">
        <v>28</v>
      </c>
      <c r="F317" s="8">
        <v>7</v>
      </c>
      <c r="G317" s="8">
        <v>9838</v>
      </c>
      <c r="H317" s="8">
        <v>7</v>
      </c>
      <c r="I317" s="9">
        <v>46078</v>
      </c>
      <c r="J317" s="9">
        <v>46085</v>
      </c>
      <c r="K317" s="8" t="s">
        <v>20</v>
      </c>
      <c r="L317">
        <f t="shared" si="8"/>
        <v>64045.38</v>
      </c>
      <c r="M317" t="str">
        <f t="shared" si="9"/>
        <v>Average</v>
      </c>
    </row>
    <row r="318" spans="1:13" x14ac:dyDescent="0.3">
      <c r="A318" s="8">
        <v>1317</v>
      </c>
      <c r="B318" s="8" t="s">
        <v>59</v>
      </c>
      <c r="C318" s="8" t="s">
        <v>33</v>
      </c>
      <c r="D318" s="8" t="s">
        <v>34</v>
      </c>
      <c r="E318" s="8" t="s">
        <v>41</v>
      </c>
      <c r="F318" s="8">
        <v>7</v>
      </c>
      <c r="G318" s="8">
        <v>67339</v>
      </c>
      <c r="H318" s="8">
        <v>5</v>
      </c>
      <c r="I318" s="9">
        <v>46159</v>
      </c>
      <c r="J318" s="9">
        <v>46169</v>
      </c>
      <c r="K318" s="8" t="s">
        <v>51</v>
      </c>
      <c r="L318">
        <f t="shared" si="8"/>
        <v>447804.35</v>
      </c>
      <c r="M318" t="str">
        <f t="shared" si="9"/>
        <v>Excellent</v>
      </c>
    </row>
    <row r="319" spans="1:13" x14ac:dyDescent="0.3">
      <c r="A319" s="8">
        <v>1318</v>
      </c>
      <c r="B319" s="8" t="s">
        <v>11</v>
      </c>
      <c r="C319" s="8" t="s">
        <v>43</v>
      </c>
      <c r="D319" s="8" t="s">
        <v>13</v>
      </c>
      <c r="E319" s="8" t="s">
        <v>50</v>
      </c>
      <c r="F319" s="8">
        <v>4</v>
      </c>
      <c r="G319" s="8">
        <v>38</v>
      </c>
      <c r="H319" s="8">
        <v>12</v>
      </c>
      <c r="I319" s="9">
        <v>46169</v>
      </c>
      <c r="J319" s="9">
        <v>46175</v>
      </c>
      <c r="K319" s="8" t="s">
        <v>29</v>
      </c>
      <c r="L319">
        <f t="shared" si="8"/>
        <v>133.76</v>
      </c>
      <c r="M319" t="str">
        <f t="shared" si="9"/>
        <v>Average</v>
      </c>
    </row>
    <row r="320" spans="1:13" x14ac:dyDescent="0.3">
      <c r="A320" s="8">
        <v>1319</v>
      </c>
      <c r="B320" s="8" t="s">
        <v>21</v>
      </c>
      <c r="C320" s="8" t="s">
        <v>17</v>
      </c>
      <c r="D320" s="8" t="s">
        <v>34</v>
      </c>
      <c r="E320" s="8" t="s">
        <v>61</v>
      </c>
      <c r="F320" s="8">
        <v>17</v>
      </c>
      <c r="G320" s="8">
        <v>58407</v>
      </c>
      <c r="H320" s="8">
        <v>7</v>
      </c>
      <c r="I320" s="9">
        <v>46094</v>
      </c>
      <c r="J320" s="9">
        <v>46102</v>
      </c>
      <c r="K320" s="8" t="s">
        <v>15</v>
      </c>
      <c r="L320">
        <f t="shared" si="8"/>
        <v>923414.66999999993</v>
      </c>
      <c r="M320" t="str">
        <f t="shared" si="9"/>
        <v>Excellent</v>
      </c>
    </row>
    <row r="321" spans="1:13" x14ac:dyDescent="0.3">
      <c r="A321" s="8">
        <v>1320</v>
      </c>
      <c r="B321" s="8" t="s">
        <v>47</v>
      </c>
      <c r="C321" s="8" t="s">
        <v>38</v>
      </c>
      <c r="D321" s="8" t="s">
        <v>13</v>
      </c>
      <c r="E321" s="8" t="s">
        <v>36</v>
      </c>
      <c r="F321" s="8">
        <v>20</v>
      </c>
      <c r="G321" s="8">
        <v>55</v>
      </c>
      <c r="H321" s="8">
        <v>7</v>
      </c>
      <c r="I321" s="9">
        <v>46183</v>
      </c>
      <c r="J321" s="9">
        <v>46186</v>
      </c>
      <c r="K321" s="8" t="s">
        <v>20</v>
      </c>
      <c r="L321">
        <f t="shared" si="8"/>
        <v>1022.9999999999999</v>
      </c>
      <c r="M321" t="str">
        <f t="shared" si="9"/>
        <v>Average</v>
      </c>
    </row>
    <row r="322" spans="1:13" x14ac:dyDescent="0.3">
      <c r="A322" s="8">
        <v>1321</v>
      </c>
      <c r="B322" s="8" t="s">
        <v>32</v>
      </c>
      <c r="C322" s="8" t="s">
        <v>22</v>
      </c>
      <c r="D322" s="8" t="s">
        <v>18</v>
      </c>
      <c r="E322" s="8" t="s">
        <v>19</v>
      </c>
      <c r="F322" s="8">
        <v>8</v>
      </c>
      <c r="G322" s="8">
        <v>5619</v>
      </c>
      <c r="H322" s="8">
        <v>7</v>
      </c>
      <c r="I322" s="9">
        <v>46107</v>
      </c>
      <c r="J322" s="9">
        <v>46109</v>
      </c>
      <c r="K322" s="8" t="s">
        <v>51</v>
      </c>
      <c r="L322">
        <f t="shared" si="8"/>
        <v>41805.360000000001</v>
      </c>
      <c r="M322" t="str">
        <f t="shared" si="9"/>
        <v>Excellent</v>
      </c>
    </row>
    <row r="323" spans="1:13" x14ac:dyDescent="0.3">
      <c r="A323" s="8">
        <v>1322</v>
      </c>
      <c r="B323" s="8" t="s">
        <v>27</v>
      </c>
      <c r="C323" s="8" t="s">
        <v>12</v>
      </c>
      <c r="D323" s="8" t="s">
        <v>18</v>
      </c>
      <c r="E323" s="8" t="s">
        <v>23</v>
      </c>
      <c r="F323" s="8">
        <v>14</v>
      </c>
      <c r="G323" s="8">
        <v>9081</v>
      </c>
      <c r="H323" s="8">
        <v>15</v>
      </c>
      <c r="I323" s="9">
        <v>46141</v>
      </c>
      <c r="J323" s="9">
        <v>46146</v>
      </c>
      <c r="K323" s="8" t="s">
        <v>15</v>
      </c>
      <c r="L323">
        <f t="shared" ref="L323:L386" si="10">F323*G323*(1-H323/100)</f>
        <v>108063.9</v>
      </c>
      <c r="M323" t="str">
        <f t="shared" ref="M323:M386" si="11">IF(L322&lt;=100000, "Excellent", IF(L322&lt;=50000, "Very Good", IF(L322&lt;=20000, "Good", "Average")))</f>
        <v>Excellent</v>
      </c>
    </row>
    <row r="324" spans="1:13" x14ac:dyDescent="0.3">
      <c r="A324" s="8">
        <v>1323</v>
      </c>
      <c r="B324" s="8" t="s">
        <v>57</v>
      </c>
      <c r="C324" s="8" t="s">
        <v>38</v>
      </c>
      <c r="D324" s="8" t="s">
        <v>34</v>
      </c>
      <c r="E324" s="8" t="s">
        <v>61</v>
      </c>
      <c r="F324" s="8">
        <v>2</v>
      </c>
      <c r="G324" s="8">
        <v>32074</v>
      </c>
      <c r="H324" s="8">
        <v>10</v>
      </c>
      <c r="I324" s="9">
        <v>46073</v>
      </c>
      <c r="J324" s="9">
        <v>46078</v>
      </c>
      <c r="K324" s="8" t="s">
        <v>15</v>
      </c>
      <c r="L324">
        <f t="shared" si="10"/>
        <v>57733.200000000004</v>
      </c>
      <c r="M324" t="str">
        <f t="shared" si="11"/>
        <v>Average</v>
      </c>
    </row>
    <row r="325" spans="1:13" x14ac:dyDescent="0.3">
      <c r="A325" s="8">
        <v>1324</v>
      </c>
      <c r="B325" s="8" t="s">
        <v>32</v>
      </c>
      <c r="C325" s="8" t="s">
        <v>22</v>
      </c>
      <c r="D325" s="8" t="s">
        <v>18</v>
      </c>
      <c r="E325" s="8" t="s">
        <v>19</v>
      </c>
      <c r="F325" s="8">
        <v>1</v>
      </c>
      <c r="G325" s="8">
        <v>4286</v>
      </c>
      <c r="H325" s="8">
        <v>15</v>
      </c>
      <c r="I325" s="9">
        <v>46053</v>
      </c>
      <c r="J325" s="9">
        <v>46056</v>
      </c>
      <c r="K325" s="8" t="s">
        <v>20</v>
      </c>
      <c r="L325">
        <f t="shared" si="10"/>
        <v>3643.1</v>
      </c>
      <c r="M325" t="str">
        <f t="shared" si="11"/>
        <v>Excellent</v>
      </c>
    </row>
    <row r="326" spans="1:13" x14ac:dyDescent="0.3">
      <c r="A326" s="8">
        <v>1325</v>
      </c>
      <c r="B326" s="8" t="s">
        <v>48</v>
      </c>
      <c r="C326" s="8" t="s">
        <v>43</v>
      </c>
      <c r="D326" s="8" t="s">
        <v>34</v>
      </c>
      <c r="E326" s="8" t="s">
        <v>39</v>
      </c>
      <c r="F326" s="8">
        <v>9</v>
      </c>
      <c r="G326" s="8">
        <v>58442</v>
      </c>
      <c r="H326" s="8">
        <v>12</v>
      </c>
      <c r="I326" s="9">
        <v>46076</v>
      </c>
      <c r="J326" s="9">
        <v>46085</v>
      </c>
      <c r="K326" s="8" t="s">
        <v>20</v>
      </c>
      <c r="L326">
        <f t="shared" si="10"/>
        <v>462860.64</v>
      </c>
      <c r="M326" t="str">
        <f t="shared" si="11"/>
        <v>Excellent</v>
      </c>
    </row>
    <row r="327" spans="1:13" x14ac:dyDescent="0.3">
      <c r="A327" s="8">
        <v>1326</v>
      </c>
      <c r="B327" s="8" t="s">
        <v>26</v>
      </c>
      <c r="C327" s="8" t="s">
        <v>17</v>
      </c>
      <c r="D327" s="8" t="s">
        <v>18</v>
      </c>
      <c r="E327" s="8" t="s">
        <v>44</v>
      </c>
      <c r="F327" s="8">
        <v>18</v>
      </c>
      <c r="G327" s="8">
        <v>1830</v>
      </c>
      <c r="H327" s="8">
        <v>10</v>
      </c>
      <c r="I327" s="9">
        <v>46165</v>
      </c>
      <c r="J327" s="9">
        <v>46172</v>
      </c>
      <c r="K327" s="8" t="s">
        <v>15</v>
      </c>
      <c r="L327">
        <f t="shared" si="10"/>
        <v>29646</v>
      </c>
      <c r="M327" t="str">
        <f t="shared" si="11"/>
        <v>Average</v>
      </c>
    </row>
    <row r="328" spans="1:13" x14ac:dyDescent="0.3">
      <c r="A328" s="8">
        <v>1327</v>
      </c>
      <c r="B328" s="8" t="s">
        <v>48</v>
      </c>
      <c r="C328" s="8" t="s">
        <v>12</v>
      </c>
      <c r="D328" s="8" t="s">
        <v>13</v>
      </c>
      <c r="E328" s="8" t="s">
        <v>53</v>
      </c>
      <c r="F328" s="8">
        <v>15</v>
      </c>
      <c r="G328" s="8">
        <v>449</v>
      </c>
      <c r="H328" s="8">
        <v>5</v>
      </c>
      <c r="I328" s="9">
        <v>46152</v>
      </c>
      <c r="J328" s="9">
        <v>46153</v>
      </c>
      <c r="K328" s="8" t="s">
        <v>15</v>
      </c>
      <c r="L328">
        <f t="shared" si="10"/>
        <v>6398.25</v>
      </c>
      <c r="M328" t="str">
        <f t="shared" si="11"/>
        <v>Excellent</v>
      </c>
    </row>
    <row r="329" spans="1:13" x14ac:dyDescent="0.3">
      <c r="A329" s="8">
        <v>1328</v>
      </c>
      <c r="B329" s="8" t="s">
        <v>16</v>
      </c>
      <c r="C329" s="8" t="s">
        <v>38</v>
      </c>
      <c r="D329" s="8" t="s">
        <v>13</v>
      </c>
      <c r="E329" s="8" t="s">
        <v>36</v>
      </c>
      <c r="F329" s="8">
        <v>4</v>
      </c>
      <c r="G329" s="8">
        <v>132</v>
      </c>
      <c r="H329" s="8">
        <v>0</v>
      </c>
      <c r="I329" s="9">
        <v>46109</v>
      </c>
      <c r="J329" s="9">
        <v>46114</v>
      </c>
      <c r="K329" s="8" t="s">
        <v>29</v>
      </c>
      <c r="L329">
        <f t="shared" si="10"/>
        <v>528</v>
      </c>
      <c r="M329" t="str">
        <f t="shared" si="11"/>
        <v>Excellent</v>
      </c>
    </row>
    <row r="330" spans="1:13" x14ac:dyDescent="0.3">
      <c r="A330" s="8">
        <v>1329</v>
      </c>
      <c r="B330" s="8" t="s">
        <v>30</v>
      </c>
      <c r="C330" s="8" t="s">
        <v>43</v>
      </c>
      <c r="D330" s="8" t="s">
        <v>13</v>
      </c>
      <c r="E330" s="8" t="s">
        <v>53</v>
      </c>
      <c r="F330" s="8">
        <v>18</v>
      </c>
      <c r="G330" s="8">
        <v>227</v>
      </c>
      <c r="H330" s="8">
        <v>5</v>
      </c>
      <c r="I330" s="9">
        <v>46126</v>
      </c>
      <c r="J330" s="9">
        <v>46136</v>
      </c>
      <c r="K330" s="8" t="s">
        <v>29</v>
      </c>
      <c r="L330">
        <f t="shared" si="10"/>
        <v>3881.7</v>
      </c>
      <c r="M330" t="str">
        <f t="shared" si="11"/>
        <v>Excellent</v>
      </c>
    </row>
    <row r="331" spans="1:13" x14ac:dyDescent="0.3">
      <c r="A331" s="8">
        <v>1330</v>
      </c>
      <c r="B331" s="8" t="s">
        <v>49</v>
      </c>
      <c r="C331" s="8" t="s">
        <v>17</v>
      </c>
      <c r="D331" s="8" t="s">
        <v>18</v>
      </c>
      <c r="E331" s="8" t="s">
        <v>19</v>
      </c>
      <c r="F331" s="8">
        <v>13</v>
      </c>
      <c r="G331" s="8">
        <v>12071</v>
      </c>
      <c r="H331" s="8">
        <v>0</v>
      </c>
      <c r="I331" s="9">
        <v>46032</v>
      </c>
      <c r="J331" s="9">
        <v>46036</v>
      </c>
      <c r="K331" s="8" t="s">
        <v>51</v>
      </c>
      <c r="L331">
        <f t="shared" si="10"/>
        <v>156923</v>
      </c>
      <c r="M331" t="str">
        <f t="shared" si="11"/>
        <v>Excellent</v>
      </c>
    </row>
    <row r="332" spans="1:13" x14ac:dyDescent="0.3">
      <c r="A332" s="8">
        <v>1331</v>
      </c>
      <c r="B332" s="8" t="s">
        <v>21</v>
      </c>
      <c r="C332" s="8" t="s">
        <v>25</v>
      </c>
      <c r="D332" s="8" t="s">
        <v>34</v>
      </c>
      <c r="E332" s="8" t="s">
        <v>61</v>
      </c>
      <c r="F332" s="8">
        <v>2</v>
      </c>
      <c r="G332" s="8">
        <v>43557</v>
      </c>
      <c r="H332" s="8">
        <v>2</v>
      </c>
      <c r="I332" s="9">
        <v>46190</v>
      </c>
      <c r="J332" s="9">
        <v>46200</v>
      </c>
      <c r="K332" s="8" t="s">
        <v>15</v>
      </c>
      <c r="L332">
        <f t="shared" si="10"/>
        <v>85371.72</v>
      </c>
      <c r="M332" t="str">
        <f t="shared" si="11"/>
        <v>Average</v>
      </c>
    </row>
    <row r="333" spans="1:13" x14ac:dyDescent="0.3">
      <c r="A333" s="8">
        <v>1332</v>
      </c>
      <c r="B333" s="8" t="s">
        <v>29</v>
      </c>
      <c r="C333" s="8" t="s">
        <v>43</v>
      </c>
      <c r="D333" s="8" t="s">
        <v>13</v>
      </c>
      <c r="E333" s="8" t="s">
        <v>50</v>
      </c>
      <c r="F333" s="8">
        <v>7</v>
      </c>
      <c r="G333" s="8">
        <v>439</v>
      </c>
      <c r="H333" s="8">
        <v>2</v>
      </c>
      <c r="I333" s="9">
        <v>46154</v>
      </c>
      <c r="J333" s="9">
        <v>46157</v>
      </c>
      <c r="K333" s="8" t="s">
        <v>15</v>
      </c>
      <c r="L333">
        <f t="shared" si="10"/>
        <v>3011.54</v>
      </c>
      <c r="M333" t="str">
        <f t="shared" si="11"/>
        <v>Excellent</v>
      </c>
    </row>
    <row r="334" spans="1:13" x14ac:dyDescent="0.3">
      <c r="A334" s="8">
        <v>1333</v>
      </c>
      <c r="B334" s="8" t="s">
        <v>29</v>
      </c>
      <c r="C334" s="8" t="s">
        <v>38</v>
      </c>
      <c r="D334" s="8" t="s">
        <v>13</v>
      </c>
      <c r="E334" s="8" t="s">
        <v>53</v>
      </c>
      <c r="F334" s="8">
        <v>20</v>
      </c>
      <c r="G334" s="8">
        <v>416</v>
      </c>
      <c r="H334" s="8">
        <v>12</v>
      </c>
      <c r="I334" s="9">
        <v>46145</v>
      </c>
      <c r="J334" s="9">
        <v>46146</v>
      </c>
      <c r="K334" s="8" t="s">
        <v>51</v>
      </c>
      <c r="L334">
        <f t="shared" si="10"/>
        <v>7321.6</v>
      </c>
      <c r="M334" t="str">
        <f t="shared" si="11"/>
        <v>Excellent</v>
      </c>
    </row>
    <row r="335" spans="1:13" x14ac:dyDescent="0.3">
      <c r="A335" s="8">
        <v>1334</v>
      </c>
      <c r="B335" s="8" t="s">
        <v>40</v>
      </c>
      <c r="C335" s="8" t="s">
        <v>12</v>
      </c>
      <c r="D335" s="8" t="s">
        <v>34</v>
      </c>
      <c r="E335" s="8" t="s">
        <v>41</v>
      </c>
      <c r="F335" s="8">
        <v>15</v>
      </c>
      <c r="G335" s="8">
        <v>39853</v>
      </c>
      <c r="H335" s="8">
        <v>7</v>
      </c>
      <c r="I335" s="9">
        <v>46038</v>
      </c>
      <c r="J335" s="9">
        <v>46047</v>
      </c>
      <c r="K335" s="8" t="s">
        <v>51</v>
      </c>
      <c r="L335">
        <f t="shared" si="10"/>
        <v>555949.35</v>
      </c>
      <c r="M335" t="str">
        <f t="shared" si="11"/>
        <v>Excellent</v>
      </c>
    </row>
    <row r="336" spans="1:13" x14ac:dyDescent="0.3">
      <c r="A336" s="8">
        <v>1335</v>
      </c>
      <c r="B336" s="8" t="s">
        <v>47</v>
      </c>
      <c r="C336" s="8" t="s">
        <v>17</v>
      </c>
      <c r="D336" s="8" t="s">
        <v>18</v>
      </c>
      <c r="E336" s="8" t="s">
        <v>19</v>
      </c>
      <c r="F336" s="8">
        <v>9</v>
      </c>
      <c r="G336" s="8">
        <v>1495</v>
      </c>
      <c r="H336" s="8">
        <v>12</v>
      </c>
      <c r="I336" s="9">
        <v>46168</v>
      </c>
      <c r="J336" s="9">
        <v>46173</v>
      </c>
      <c r="K336" s="8" t="s">
        <v>15</v>
      </c>
      <c r="L336">
        <f t="shared" si="10"/>
        <v>11840.4</v>
      </c>
      <c r="M336" t="str">
        <f t="shared" si="11"/>
        <v>Average</v>
      </c>
    </row>
    <row r="337" spans="1:13" x14ac:dyDescent="0.3">
      <c r="A337" s="8">
        <v>1336</v>
      </c>
      <c r="B337" s="8" t="s">
        <v>16</v>
      </c>
      <c r="C337" s="8" t="s">
        <v>25</v>
      </c>
      <c r="D337" s="8" t="s">
        <v>18</v>
      </c>
      <c r="E337" s="8" t="s">
        <v>56</v>
      </c>
      <c r="F337" s="8">
        <v>10</v>
      </c>
      <c r="G337" s="8">
        <v>5624</v>
      </c>
      <c r="H337" s="8">
        <v>0</v>
      </c>
      <c r="I337" s="9">
        <v>46086</v>
      </c>
      <c r="J337" s="9">
        <v>46092</v>
      </c>
      <c r="K337" s="8" t="s">
        <v>29</v>
      </c>
      <c r="L337">
        <f t="shared" si="10"/>
        <v>56240</v>
      </c>
      <c r="M337" t="str">
        <f t="shared" si="11"/>
        <v>Excellent</v>
      </c>
    </row>
    <row r="338" spans="1:13" x14ac:dyDescent="0.3">
      <c r="A338" s="8">
        <v>1337</v>
      </c>
      <c r="B338" s="8" t="s">
        <v>16</v>
      </c>
      <c r="C338" s="8" t="s">
        <v>12</v>
      </c>
      <c r="D338" s="8" t="s">
        <v>13</v>
      </c>
      <c r="E338" s="8" t="s">
        <v>53</v>
      </c>
      <c r="F338" s="8">
        <v>14</v>
      </c>
      <c r="G338" s="8">
        <v>373</v>
      </c>
      <c r="H338" s="8">
        <v>10</v>
      </c>
      <c r="I338" s="9">
        <v>46074</v>
      </c>
      <c r="J338" s="9">
        <v>46080</v>
      </c>
      <c r="K338" s="8" t="s">
        <v>29</v>
      </c>
      <c r="L338">
        <f t="shared" si="10"/>
        <v>4699.8</v>
      </c>
      <c r="M338" t="str">
        <f t="shared" si="11"/>
        <v>Excellent</v>
      </c>
    </row>
    <row r="339" spans="1:13" x14ac:dyDescent="0.3">
      <c r="A339" s="8">
        <v>1338</v>
      </c>
      <c r="B339" s="8" t="s">
        <v>59</v>
      </c>
      <c r="C339" s="8" t="s">
        <v>25</v>
      </c>
      <c r="D339" s="8" t="s">
        <v>34</v>
      </c>
      <c r="E339" s="8" t="s">
        <v>60</v>
      </c>
      <c r="F339" s="8">
        <v>10</v>
      </c>
      <c r="G339" s="8">
        <v>16719</v>
      </c>
      <c r="H339" s="8">
        <v>5</v>
      </c>
      <c r="I339" s="9">
        <v>46177</v>
      </c>
      <c r="J339" s="9">
        <v>46179</v>
      </c>
      <c r="K339" s="8" t="s">
        <v>15</v>
      </c>
      <c r="L339">
        <f t="shared" si="10"/>
        <v>158830.5</v>
      </c>
      <c r="M339" t="str">
        <f t="shared" si="11"/>
        <v>Excellent</v>
      </c>
    </row>
    <row r="340" spans="1:13" x14ac:dyDescent="0.3">
      <c r="A340" s="8">
        <v>1339</v>
      </c>
      <c r="B340" s="8" t="s">
        <v>32</v>
      </c>
      <c r="C340" s="8" t="s">
        <v>25</v>
      </c>
      <c r="D340" s="8" t="s">
        <v>13</v>
      </c>
      <c r="E340" s="8" t="s">
        <v>14</v>
      </c>
      <c r="F340" s="8">
        <v>6</v>
      </c>
      <c r="G340" s="8">
        <v>302</v>
      </c>
      <c r="H340" s="8">
        <v>5</v>
      </c>
      <c r="I340" s="9">
        <v>46142</v>
      </c>
      <c r="J340" s="9">
        <v>46148</v>
      </c>
      <c r="K340" s="8" t="s">
        <v>20</v>
      </c>
      <c r="L340">
        <f t="shared" si="10"/>
        <v>1721.3999999999999</v>
      </c>
      <c r="M340" t="str">
        <f t="shared" si="11"/>
        <v>Average</v>
      </c>
    </row>
    <row r="341" spans="1:13" x14ac:dyDescent="0.3">
      <c r="A341" s="8">
        <v>1340</v>
      </c>
      <c r="B341" s="8" t="s">
        <v>48</v>
      </c>
      <c r="C341" s="8" t="s">
        <v>17</v>
      </c>
      <c r="D341" s="8" t="s">
        <v>18</v>
      </c>
      <c r="E341" s="8" t="s">
        <v>19</v>
      </c>
      <c r="F341" s="8">
        <v>12</v>
      </c>
      <c r="G341" s="8">
        <v>3857</v>
      </c>
      <c r="H341" s="8">
        <v>12</v>
      </c>
      <c r="I341" s="9">
        <v>46196</v>
      </c>
      <c r="J341" s="9">
        <v>46198</v>
      </c>
      <c r="K341" s="8" t="s">
        <v>51</v>
      </c>
      <c r="L341">
        <f t="shared" si="10"/>
        <v>40729.919999999998</v>
      </c>
      <c r="M341" t="str">
        <f t="shared" si="11"/>
        <v>Excellent</v>
      </c>
    </row>
    <row r="342" spans="1:13" x14ac:dyDescent="0.3">
      <c r="A342" s="8">
        <v>1341</v>
      </c>
      <c r="B342" s="8" t="s">
        <v>57</v>
      </c>
      <c r="C342" s="8" t="s">
        <v>38</v>
      </c>
      <c r="D342" s="8" t="s">
        <v>18</v>
      </c>
      <c r="E342" s="8" t="s">
        <v>19</v>
      </c>
      <c r="F342" s="8">
        <v>19</v>
      </c>
      <c r="G342" s="8">
        <v>6488</v>
      </c>
      <c r="H342" s="8">
        <v>15</v>
      </c>
      <c r="I342" s="9">
        <v>46026</v>
      </c>
      <c r="J342" s="9">
        <v>46030</v>
      </c>
      <c r="K342" s="8" t="s">
        <v>20</v>
      </c>
      <c r="L342">
        <f t="shared" si="10"/>
        <v>104781.2</v>
      </c>
      <c r="M342" t="str">
        <f t="shared" si="11"/>
        <v>Excellent</v>
      </c>
    </row>
    <row r="343" spans="1:13" x14ac:dyDescent="0.3">
      <c r="A343" s="8">
        <v>1342</v>
      </c>
      <c r="B343" s="8" t="s">
        <v>59</v>
      </c>
      <c r="C343" s="8" t="s">
        <v>31</v>
      </c>
      <c r="D343" s="8" t="s">
        <v>34</v>
      </c>
      <c r="E343" s="8" t="s">
        <v>35</v>
      </c>
      <c r="F343" s="8">
        <v>13</v>
      </c>
      <c r="G343" s="8">
        <v>47881</v>
      </c>
      <c r="H343" s="8">
        <v>15</v>
      </c>
      <c r="I343" s="9">
        <v>46132</v>
      </c>
      <c r="J343" s="9">
        <v>46139</v>
      </c>
      <c r="K343" s="8" t="s">
        <v>29</v>
      </c>
      <c r="L343">
        <f t="shared" si="10"/>
        <v>529085.04999999993</v>
      </c>
      <c r="M343" t="str">
        <f t="shared" si="11"/>
        <v>Average</v>
      </c>
    </row>
    <row r="344" spans="1:13" x14ac:dyDescent="0.3">
      <c r="A344" s="8">
        <v>1343</v>
      </c>
      <c r="B344" s="8" t="s">
        <v>59</v>
      </c>
      <c r="C344" s="8" t="s">
        <v>31</v>
      </c>
      <c r="D344" s="8" t="s">
        <v>34</v>
      </c>
      <c r="E344" s="8" t="s">
        <v>39</v>
      </c>
      <c r="F344" s="8">
        <v>14</v>
      </c>
      <c r="G344" s="8">
        <v>32719</v>
      </c>
      <c r="H344" s="8">
        <v>15</v>
      </c>
      <c r="I344" s="9">
        <v>46174</v>
      </c>
      <c r="J344" s="9">
        <v>46179</v>
      </c>
      <c r="K344" s="8" t="s">
        <v>15</v>
      </c>
      <c r="L344">
        <f t="shared" si="10"/>
        <v>389356.1</v>
      </c>
      <c r="M344" t="str">
        <f t="shared" si="11"/>
        <v>Average</v>
      </c>
    </row>
    <row r="345" spans="1:13" x14ac:dyDescent="0.3">
      <c r="A345" s="8">
        <v>1344</v>
      </c>
      <c r="B345" s="8" t="s">
        <v>30</v>
      </c>
      <c r="C345" s="8" t="s">
        <v>17</v>
      </c>
      <c r="D345" s="8" t="s">
        <v>13</v>
      </c>
      <c r="E345" s="8" t="s">
        <v>53</v>
      </c>
      <c r="F345" s="8">
        <v>18</v>
      </c>
      <c r="G345" s="8">
        <v>240</v>
      </c>
      <c r="H345" s="8">
        <v>10</v>
      </c>
      <c r="I345" s="9">
        <v>46155</v>
      </c>
      <c r="J345" s="9">
        <v>46156</v>
      </c>
      <c r="K345" s="8" t="s">
        <v>24</v>
      </c>
      <c r="L345">
        <f t="shared" si="10"/>
        <v>3888</v>
      </c>
      <c r="M345" t="str">
        <f t="shared" si="11"/>
        <v>Average</v>
      </c>
    </row>
    <row r="346" spans="1:13" x14ac:dyDescent="0.3">
      <c r="A346" s="8">
        <v>1345</v>
      </c>
      <c r="B346" s="8" t="s">
        <v>32</v>
      </c>
      <c r="C346" s="8" t="s">
        <v>12</v>
      </c>
      <c r="D346" s="8" t="s">
        <v>34</v>
      </c>
      <c r="E346" s="8" t="s">
        <v>45</v>
      </c>
      <c r="F346" s="8">
        <v>12</v>
      </c>
      <c r="G346" s="8">
        <v>50544</v>
      </c>
      <c r="H346" s="8">
        <v>10</v>
      </c>
      <c r="I346" s="9">
        <v>46095</v>
      </c>
      <c r="J346" s="9">
        <v>46097</v>
      </c>
      <c r="K346" s="8" t="s">
        <v>29</v>
      </c>
      <c r="L346">
        <f t="shared" si="10"/>
        <v>545875.20000000007</v>
      </c>
      <c r="M346" t="str">
        <f t="shared" si="11"/>
        <v>Excellent</v>
      </c>
    </row>
    <row r="347" spans="1:13" x14ac:dyDescent="0.3">
      <c r="A347" s="8">
        <v>1346</v>
      </c>
      <c r="B347" s="8" t="s">
        <v>32</v>
      </c>
      <c r="C347" s="8" t="s">
        <v>22</v>
      </c>
      <c r="D347" s="8" t="s">
        <v>18</v>
      </c>
      <c r="E347" s="8" t="s">
        <v>19</v>
      </c>
      <c r="F347" s="8">
        <v>16</v>
      </c>
      <c r="G347" s="8">
        <v>6910</v>
      </c>
      <c r="H347" s="8">
        <v>15</v>
      </c>
      <c r="I347" s="9">
        <v>46140</v>
      </c>
      <c r="J347" s="9">
        <v>46142</v>
      </c>
      <c r="K347" s="8" t="s">
        <v>29</v>
      </c>
      <c r="L347">
        <f t="shared" si="10"/>
        <v>93976</v>
      </c>
      <c r="M347" t="str">
        <f t="shared" si="11"/>
        <v>Average</v>
      </c>
    </row>
    <row r="348" spans="1:13" x14ac:dyDescent="0.3">
      <c r="A348" s="8">
        <v>1347</v>
      </c>
      <c r="B348" s="8" t="s">
        <v>29</v>
      </c>
      <c r="C348" s="8" t="s">
        <v>22</v>
      </c>
      <c r="D348" s="8" t="s">
        <v>34</v>
      </c>
      <c r="E348" s="8" t="s">
        <v>35</v>
      </c>
      <c r="F348" s="8">
        <v>16</v>
      </c>
      <c r="G348" s="8">
        <v>6034</v>
      </c>
      <c r="H348" s="8">
        <v>15</v>
      </c>
      <c r="I348" s="9">
        <v>46037</v>
      </c>
      <c r="J348" s="9">
        <v>46044</v>
      </c>
      <c r="K348" s="8" t="s">
        <v>24</v>
      </c>
      <c r="L348">
        <f t="shared" si="10"/>
        <v>82062.399999999994</v>
      </c>
      <c r="M348" t="str">
        <f t="shared" si="11"/>
        <v>Excellent</v>
      </c>
    </row>
    <row r="349" spans="1:13" x14ac:dyDescent="0.3">
      <c r="A349" s="8">
        <v>1348</v>
      </c>
      <c r="B349" s="8" t="s">
        <v>11</v>
      </c>
      <c r="C349" s="8" t="s">
        <v>33</v>
      </c>
      <c r="D349" s="8" t="s">
        <v>13</v>
      </c>
      <c r="E349" s="8" t="s">
        <v>50</v>
      </c>
      <c r="F349" s="8">
        <v>12</v>
      </c>
      <c r="G349" s="8">
        <v>244</v>
      </c>
      <c r="H349" s="8">
        <v>7</v>
      </c>
      <c r="I349" s="9">
        <v>46048</v>
      </c>
      <c r="J349" s="9">
        <v>46053</v>
      </c>
      <c r="K349" s="8" t="s">
        <v>15</v>
      </c>
      <c r="L349">
        <f t="shared" si="10"/>
        <v>2723.04</v>
      </c>
      <c r="M349" t="str">
        <f t="shared" si="11"/>
        <v>Excellent</v>
      </c>
    </row>
    <row r="350" spans="1:13" x14ac:dyDescent="0.3">
      <c r="A350" s="8">
        <v>1349</v>
      </c>
      <c r="B350" s="8" t="s">
        <v>40</v>
      </c>
      <c r="C350" s="8" t="s">
        <v>33</v>
      </c>
      <c r="D350" s="8" t="s">
        <v>34</v>
      </c>
      <c r="E350" s="8" t="s">
        <v>35</v>
      </c>
      <c r="F350" s="8">
        <v>20</v>
      </c>
      <c r="G350" s="8">
        <v>62721</v>
      </c>
      <c r="H350" s="8">
        <v>7</v>
      </c>
      <c r="I350" s="9">
        <v>46079</v>
      </c>
      <c r="J350" s="9">
        <v>46083</v>
      </c>
      <c r="K350" s="8" t="s">
        <v>20</v>
      </c>
      <c r="L350">
        <f t="shared" si="10"/>
        <v>1166610.5999999999</v>
      </c>
      <c r="M350" t="str">
        <f t="shared" si="11"/>
        <v>Excellent</v>
      </c>
    </row>
    <row r="351" spans="1:13" x14ac:dyDescent="0.3">
      <c r="A351" s="8">
        <v>1350</v>
      </c>
      <c r="B351" s="8" t="s">
        <v>26</v>
      </c>
      <c r="C351" s="8" t="s">
        <v>43</v>
      </c>
      <c r="D351" s="8" t="s">
        <v>18</v>
      </c>
      <c r="E351" s="8" t="s">
        <v>28</v>
      </c>
      <c r="F351" s="8">
        <v>16</v>
      </c>
      <c r="G351" s="8">
        <v>11790</v>
      </c>
      <c r="H351" s="8">
        <v>12</v>
      </c>
      <c r="I351" s="9">
        <v>46185</v>
      </c>
      <c r="J351" s="9">
        <v>46190</v>
      </c>
      <c r="K351" s="8" t="s">
        <v>29</v>
      </c>
      <c r="L351">
        <f t="shared" si="10"/>
        <v>166003.20000000001</v>
      </c>
      <c r="M351" t="str">
        <f t="shared" si="11"/>
        <v>Average</v>
      </c>
    </row>
    <row r="352" spans="1:13" x14ac:dyDescent="0.3">
      <c r="A352" s="8">
        <v>1351</v>
      </c>
      <c r="B352" s="8" t="s">
        <v>42</v>
      </c>
      <c r="C352" s="8" t="s">
        <v>33</v>
      </c>
      <c r="D352" s="8" t="s">
        <v>34</v>
      </c>
      <c r="E352" s="8" t="s">
        <v>45</v>
      </c>
      <c r="F352" s="8">
        <v>12</v>
      </c>
      <c r="G352" s="8">
        <v>1272</v>
      </c>
      <c r="H352" s="8">
        <v>0</v>
      </c>
      <c r="I352" s="9">
        <v>46026</v>
      </c>
      <c r="J352" s="9">
        <v>46029</v>
      </c>
      <c r="K352" s="8" t="s">
        <v>15</v>
      </c>
      <c r="L352">
        <f t="shared" si="10"/>
        <v>15264</v>
      </c>
      <c r="M352" t="str">
        <f t="shared" si="11"/>
        <v>Average</v>
      </c>
    </row>
    <row r="353" spans="1:13" x14ac:dyDescent="0.3">
      <c r="A353" s="8">
        <v>1352</v>
      </c>
      <c r="B353" s="8" t="s">
        <v>54</v>
      </c>
      <c r="C353" s="8" t="s">
        <v>22</v>
      </c>
      <c r="D353" s="8" t="s">
        <v>13</v>
      </c>
      <c r="E353" s="8" t="s">
        <v>14</v>
      </c>
      <c r="F353" s="8">
        <v>12</v>
      </c>
      <c r="G353" s="8">
        <v>203</v>
      </c>
      <c r="H353" s="8">
        <v>5</v>
      </c>
      <c r="I353" s="9">
        <v>46024</v>
      </c>
      <c r="J353" s="9">
        <v>46033</v>
      </c>
      <c r="K353" s="8" t="s">
        <v>15</v>
      </c>
      <c r="L353">
        <f t="shared" si="10"/>
        <v>2314.1999999999998</v>
      </c>
      <c r="M353" t="str">
        <f t="shared" si="11"/>
        <v>Excellent</v>
      </c>
    </row>
    <row r="354" spans="1:13" x14ac:dyDescent="0.3">
      <c r="A354" s="8">
        <v>1353</v>
      </c>
      <c r="B354" s="8" t="s">
        <v>47</v>
      </c>
      <c r="C354" s="8" t="s">
        <v>43</v>
      </c>
      <c r="D354" s="8" t="s">
        <v>13</v>
      </c>
      <c r="E354" s="8" t="s">
        <v>14</v>
      </c>
      <c r="F354" s="8">
        <v>6</v>
      </c>
      <c r="G354" s="8">
        <v>495</v>
      </c>
      <c r="H354" s="8">
        <v>2</v>
      </c>
      <c r="I354" s="9">
        <v>46194</v>
      </c>
      <c r="J354" s="9">
        <v>46200</v>
      </c>
      <c r="K354" s="8" t="s">
        <v>24</v>
      </c>
      <c r="L354">
        <f t="shared" si="10"/>
        <v>2910.6</v>
      </c>
      <c r="M354" t="str">
        <f t="shared" si="11"/>
        <v>Excellent</v>
      </c>
    </row>
    <row r="355" spans="1:13" x14ac:dyDescent="0.3">
      <c r="A355" s="8">
        <v>1354</v>
      </c>
      <c r="B355" s="8" t="s">
        <v>47</v>
      </c>
      <c r="C355" s="8" t="s">
        <v>43</v>
      </c>
      <c r="D355" s="8" t="s">
        <v>34</v>
      </c>
      <c r="E355" s="8" t="s">
        <v>35</v>
      </c>
      <c r="F355" s="8">
        <v>15</v>
      </c>
      <c r="G355" s="8">
        <v>14927</v>
      </c>
      <c r="H355" s="8">
        <v>15</v>
      </c>
      <c r="I355" s="9">
        <v>46118</v>
      </c>
      <c r="J355" s="9">
        <v>46120</v>
      </c>
      <c r="K355" s="8" t="s">
        <v>51</v>
      </c>
      <c r="L355">
        <f t="shared" si="10"/>
        <v>190319.25</v>
      </c>
      <c r="M355" t="str">
        <f t="shared" si="11"/>
        <v>Excellent</v>
      </c>
    </row>
    <row r="356" spans="1:13" x14ac:dyDescent="0.3">
      <c r="A356" s="8">
        <v>1355</v>
      </c>
      <c r="B356" s="8" t="s">
        <v>27</v>
      </c>
      <c r="C356" s="8" t="s">
        <v>12</v>
      </c>
      <c r="D356" s="8" t="s">
        <v>34</v>
      </c>
      <c r="E356" s="8" t="s">
        <v>60</v>
      </c>
      <c r="F356" s="8">
        <v>18</v>
      </c>
      <c r="G356" s="8">
        <v>35997</v>
      </c>
      <c r="H356" s="8">
        <v>2</v>
      </c>
      <c r="I356" s="9">
        <v>46024</v>
      </c>
      <c r="J356" s="9">
        <v>46031</v>
      </c>
      <c r="K356" s="8" t="s">
        <v>51</v>
      </c>
      <c r="L356">
        <f t="shared" si="10"/>
        <v>634987.07999999996</v>
      </c>
      <c r="M356" t="str">
        <f t="shared" si="11"/>
        <v>Average</v>
      </c>
    </row>
    <row r="357" spans="1:13" x14ac:dyDescent="0.3">
      <c r="A357" s="8">
        <v>1356</v>
      </c>
      <c r="B357" s="8" t="s">
        <v>26</v>
      </c>
      <c r="C357" s="8" t="s">
        <v>38</v>
      </c>
      <c r="D357" s="8" t="s">
        <v>34</v>
      </c>
      <c r="E357" s="8" t="s">
        <v>60</v>
      </c>
      <c r="F357" s="8">
        <v>16</v>
      </c>
      <c r="G357" s="8">
        <v>53457</v>
      </c>
      <c r="H357" s="8">
        <v>10</v>
      </c>
      <c r="I357" s="9">
        <v>46201</v>
      </c>
      <c r="J357" s="9">
        <v>46204</v>
      </c>
      <c r="K357" s="8" t="s">
        <v>15</v>
      </c>
      <c r="L357">
        <f t="shared" si="10"/>
        <v>769780.8</v>
      </c>
      <c r="M357" t="str">
        <f t="shared" si="11"/>
        <v>Average</v>
      </c>
    </row>
    <row r="358" spans="1:13" x14ac:dyDescent="0.3">
      <c r="A358" s="8">
        <v>1357</v>
      </c>
      <c r="B358" s="8" t="s">
        <v>59</v>
      </c>
      <c r="C358" s="8" t="s">
        <v>25</v>
      </c>
      <c r="D358" s="8" t="s">
        <v>13</v>
      </c>
      <c r="E358" s="8" t="s">
        <v>37</v>
      </c>
      <c r="F358" s="8">
        <v>6</v>
      </c>
      <c r="G358" s="8">
        <v>365</v>
      </c>
      <c r="H358" s="8">
        <v>7</v>
      </c>
      <c r="I358" s="9">
        <v>46133</v>
      </c>
      <c r="J358" s="9">
        <v>46140</v>
      </c>
      <c r="K358" s="8" t="s">
        <v>51</v>
      </c>
      <c r="L358">
        <f t="shared" si="10"/>
        <v>2036.6999999999998</v>
      </c>
      <c r="M358" t="str">
        <f t="shared" si="11"/>
        <v>Average</v>
      </c>
    </row>
    <row r="359" spans="1:13" x14ac:dyDescent="0.3">
      <c r="A359" s="8">
        <v>1358</v>
      </c>
      <c r="B359" s="8" t="s">
        <v>40</v>
      </c>
      <c r="C359" s="8" t="s">
        <v>38</v>
      </c>
      <c r="D359" s="8" t="s">
        <v>18</v>
      </c>
      <c r="E359" s="8" t="s">
        <v>19</v>
      </c>
      <c r="F359" s="8">
        <v>7</v>
      </c>
      <c r="G359" s="8">
        <v>6618</v>
      </c>
      <c r="H359" s="8">
        <v>0</v>
      </c>
      <c r="I359" s="9">
        <v>46127</v>
      </c>
      <c r="J359" s="9">
        <v>46129</v>
      </c>
      <c r="K359" s="8" t="s">
        <v>20</v>
      </c>
      <c r="L359">
        <f t="shared" si="10"/>
        <v>46326</v>
      </c>
      <c r="M359" t="str">
        <f t="shared" si="11"/>
        <v>Excellent</v>
      </c>
    </row>
    <row r="360" spans="1:13" x14ac:dyDescent="0.3">
      <c r="A360" s="8">
        <v>1359</v>
      </c>
      <c r="B360" s="8" t="s">
        <v>54</v>
      </c>
      <c r="C360" s="8" t="s">
        <v>12</v>
      </c>
      <c r="D360" s="8" t="s">
        <v>34</v>
      </c>
      <c r="E360" s="8" t="s">
        <v>61</v>
      </c>
      <c r="F360" s="8">
        <v>9</v>
      </c>
      <c r="G360" s="8">
        <v>38179</v>
      </c>
      <c r="H360" s="8">
        <v>0</v>
      </c>
      <c r="I360" s="9">
        <v>46096</v>
      </c>
      <c r="J360" s="9">
        <v>46099</v>
      </c>
      <c r="K360" s="8" t="s">
        <v>15</v>
      </c>
      <c r="L360">
        <f t="shared" si="10"/>
        <v>343611</v>
      </c>
      <c r="M360" t="str">
        <f t="shared" si="11"/>
        <v>Excellent</v>
      </c>
    </row>
    <row r="361" spans="1:13" x14ac:dyDescent="0.3">
      <c r="A361" s="8">
        <v>1360</v>
      </c>
      <c r="B361" s="8" t="s">
        <v>11</v>
      </c>
      <c r="C361" s="8" t="s">
        <v>43</v>
      </c>
      <c r="D361" s="8" t="s">
        <v>18</v>
      </c>
      <c r="E361" s="8" t="s">
        <v>23</v>
      </c>
      <c r="F361" s="8">
        <v>19</v>
      </c>
      <c r="G361" s="8">
        <v>6681</v>
      </c>
      <c r="H361" s="8">
        <v>2</v>
      </c>
      <c r="I361" s="9">
        <v>46146</v>
      </c>
      <c r="J361" s="9">
        <v>46150</v>
      </c>
      <c r="K361" s="8" t="s">
        <v>15</v>
      </c>
      <c r="L361">
        <f t="shared" si="10"/>
        <v>124400.22</v>
      </c>
      <c r="M361" t="str">
        <f t="shared" si="11"/>
        <v>Average</v>
      </c>
    </row>
    <row r="362" spans="1:13" x14ac:dyDescent="0.3">
      <c r="A362" s="8">
        <v>1361</v>
      </c>
      <c r="B362" s="8" t="s">
        <v>42</v>
      </c>
      <c r="C362" s="8" t="s">
        <v>17</v>
      </c>
      <c r="D362" s="8" t="s">
        <v>18</v>
      </c>
      <c r="E362" s="8" t="s">
        <v>23</v>
      </c>
      <c r="F362" s="8">
        <v>2</v>
      </c>
      <c r="G362" s="8">
        <v>1822</v>
      </c>
      <c r="H362" s="8">
        <v>5</v>
      </c>
      <c r="I362" s="9">
        <v>46141</v>
      </c>
      <c r="J362" s="9">
        <v>46145</v>
      </c>
      <c r="K362" s="8" t="s">
        <v>20</v>
      </c>
      <c r="L362">
        <f t="shared" si="10"/>
        <v>3461.7999999999997</v>
      </c>
      <c r="M362" t="str">
        <f t="shared" si="11"/>
        <v>Average</v>
      </c>
    </row>
    <row r="363" spans="1:13" x14ac:dyDescent="0.3">
      <c r="A363" s="8">
        <v>1362</v>
      </c>
      <c r="B363" s="8" t="s">
        <v>16</v>
      </c>
      <c r="C363" s="8" t="s">
        <v>12</v>
      </c>
      <c r="D363" s="8" t="s">
        <v>18</v>
      </c>
      <c r="E363" s="8" t="s">
        <v>28</v>
      </c>
      <c r="F363" s="8">
        <v>1</v>
      </c>
      <c r="G363" s="8">
        <v>10474</v>
      </c>
      <c r="H363" s="8">
        <v>0</v>
      </c>
      <c r="I363" s="9">
        <v>46094</v>
      </c>
      <c r="J363" s="9">
        <v>46096</v>
      </c>
      <c r="K363" s="8" t="s">
        <v>29</v>
      </c>
      <c r="L363">
        <f t="shared" si="10"/>
        <v>10474</v>
      </c>
      <c r="M363" t="str">
        <f t="shared" si="11"/>
        <v>Excellent</v>
      </c>
    </row>
    <row r="364" spans="1:13" x14ac:dyDescent="0.3">
      <c r="A364" s="8">
        <v>1363</v>
      </c>
      <c r="B364" s="8" t="s">
        <v>27</v>
      </c>
      <c r="C364" s="8" t="s">
        <v>25</v>
      </c>
      <c r="D364" s="8" t="s">
        <v>34</v>
      </c>
      <c r="E364" s="8" t="s">
        <v>35</v>
      </c>
      <c r="F364" s="8">
        <v>7</v>
      </c>
      <c r="G364" s="8">
        <v>45381</v>
      </c>
      <c r="H364" s="8">
        <v>0</v>
      </c>
      <c r="I364" s="9">
        <v>46122</v>
      </c>
      <c r="J364" s="9">
        <v>46128</v>
      </c>
      <c r="K364" s="8" t="s">
        <v>15</v>
      </c>
      <c r="L364">
        <f t="shared" si="10"/>
        <v>317667</v>
      </c>
      <c r="M364" t="str">
        <f t="shared" si="11"/>
        <v>Excellent</v>
      </c>
    </row>
    <row r="365" spans="1:13" x14ac:dyDescent="0.3">
      <c r="A365" s="8">
        <v>1364</v>
      </c>
      <c r="B365" s="8" t="s">
        <v>30</v>
      </c>
      <c r="C365" s="8" t="s">
        <v>22</v>
      </c>
      <c r="D365" s="8" t="s">
        <v>18</v>
      </c>
      <c r="E365" s="8" t="s">
        <v>56</v>
      </c>
      <c r="F365" s="8">
        <v>16</v>
      </c>
      <c r="G365" s="8">
        <v>1744</v>
      </c>
      <c r="H365" s="8">
        <v>15</v>
      </c>
      <c r="I365" s="9">
        <v>46031</v>
      </c>
      <c r="J365" s="9">
        <v>46033</v>
      </c>
      <c r="K365" s="8" t="s">
        <v>51</v>
      </c>
      <c r="L365">
        <f t="shared" si="10"/>
        <v>23718.399999999998</v>
      </c>
      <c r="M365" t="str">
        <f t="shared" si="11"/>
        <v>Average</v>
      </c>
    </row>
    <row r="366" spans="1:13" x14ac:dyDescent="0.3">
      <c r="A366" s="8">
        <v>1365</v>
      </c>
      <c r="B366" s="8" t="s">
        <v>46</v>
      </c>
      <c r="C366" s="8" t="s">
        <v>33</v>
      </c>
      <c r="D366" s="8" t="s">
        <v>13</v>
      </c>
      <c r="E366" s="8" t="s">
        <v>50</v>
      </c>
      <c r="F366" s="8">
        <v>17</v>
      </c>
      <c r="G366" s="8">
        <v>119</v>
      </c>
      <c r="H366" s="8">
        <v>7</v>
      </c>
      <c r="I366" s="9">
        <v>46070</v>
      </c>
      <c r="J366" s="9">
        <v>46072</v>
      </c>
      <c r="K366" s="8" t="s">
        <v>20</v>
      </c>
      <c r="L366">
        <f t="shared" si="10"/>
        <v>1881.3899999999999</v>
      </c>
      <c r="M366" t="str">
        <f t="shared" si="11"/>
        <v>Excellent</v>
      </c>
    </row>
    <row r="367" spans="1:13" x14ac:dyDescent="0.3">
      <c r="A367" s="8">
        <v>1366</v>
      </c>
      <c r="B367" s="8" t="s">
        <v>26</v>
      </c>
      <c r="C367" s="8" t="s">
        <v>17</v>
      </c>
      <c r="D367" s="8" t="s">
        <v>34</v>
      </c>
      <c r="E367" s="8" t="s">
        <v>61</v>
      </c>
      <c r="F367" s="8">
        <v>20</v>
      </c>
      <c r="G367" s="8">
        <v>44312</v>
      </c>
      <c r="H367" s="8">
        <v>10</v>
      </c>
      <c r="I367" s="9">
        <v>46047</v>
      </c>
      <c r="J367" s="9">
        <v>46054</v>
      </c>
      <c r="K367" s="8" t="s">
        <v>29</v>
      </c>
      <c r="L367">
        <f t="shared" si="10"/>
        <v>797616</v>
      </c>
      <c r="M367" t="str">
        <f t="shared" si="11"/>
        <v>Excellent</v>
      </c>
    </row>
    <row r="368" spans="1:13" x14ac:dyDescent="0.3">
      <c r="A368" s="8">
        <v>1367</v>
      </c>
      <c r="B368" s="8" t="s">
        <v>54</v>
      </c>
      <c r="C368" s="8" t="s">
        <v>25</v>
      </c>
      <c r="D368" s="8" t="s">
        <v>13</v>
      </c>
      <c r="E368" s="8" t="s">
        <v>53</v>
      </c>
      <c r="F368" s="8">
        <v>1</v>
      </c>
      <c r="G368" s="8">
        <v>371</v>
      </c>
      <c r="H368" s="8">
        <v>5</v>
      </c>
      <c r="I368" s="9">
        <v>46158</v>
      </c>
      <c r="J368" s="9">
        <v>46168</v>
      </c>
      <c r="K368" s="8" t="s">
        <v>29</v>
      </c>
      <c r="L368">
        <f t="shared" si="10"/>
        <v>352.45</v>
      </c>
      <c r="M368" t="str">
        <f t="shared" si="11"/>
        <v>Average</v>
      </c>
    </row>
    <row r="369" spans="1:13" x14ac:dyDescent="0.3">
      <c r="A369" s="8">
        <v>1368</v>
      </c>
      <c r="B369" s="8" t="s">
        <v>55</v>
      </c>
      <c r="C369" s="8" t="s">
        <v>38</v>
      </c>
      <c r="D369" s="8" t="s">
        <v>13</v>
      </c>
      <c r="E369" s="8" t="s">
        <v>36</v>
      </c>
      <c r="F369" s="8">
        <v>9</v>
      </c>
      <c r="G369" s="8">
        <v>115</v>
      </c>
      <c r="H369" s="8">
        <v>0</v>
      </c>
      <c r="I369" s="9">
        <v>46036</v>
      </c>
      <c r="J369" s="9">
        <v>46045</v>
      </c>
      <c r="K369" s="8" t="s">
        <v>24</v>
      </c>
      <c r="L369">
        <f t="shared" si="10"/>
        <v>1035</v>
      </c>
      <c r="M369" t="str">
        <f t="shared" si="11"/>
        <v>Excellent</v>
      </c>
    </row>
    <row r="370" spans="1:13" x14ac:dyDescent="0.3">
      <c r="A370" s="8">
        <v>1369</v>
      </c>
      <c r="B370" s="8" t="s">
        <v>57</v>
      </c>
      <c r="C370" s="8" t="s">
        <v>25</v>
      </c>
      <c r="D370" s="8" t="s">
        <v>18</v>
      </c>
      <c r="E370" s="8" t="s">
        <v>19</v>
      </c>
      <c r="F370" s="8">
        <v>19</v>
      </c>
      <c r="G370" s="8">
        <v>5840</v>
      </c>
      <c r="H370" s="8">
        <v>5</v>
      </c>
      <c r="I370" s="9">
        <v>46062</v>
      </c>
      <c r="J370" s="9">
        <v>46067</v>
      </c>
      <c r="K370" s="8" t="s">
        <v>15</v>
      </c>
      <c r="L370">
        <f t="shared" si="10"/>
        <v>105412</v>
      </c>
      <c r="M370" t="str">
        <f t="shared" si="11"/>
        <v>Excellent</v>
      </c>
    </row>
    <row r="371" spans="1:13" x14ac:dyDescent="0.3">
      <c r="A371" s="8">
        <v>1370</v>
      </c>
      <c r="B371" s="8" t="s">
        <v>59</v>
      </c>
      <c r="C371" s="8" t="s">
        <v>38</v>
      </c>
      <c r="D371" s="8" t="s">
        <v>13</v>
      </c>
      <c r="E371" s="8" t="s">
        <v>53</v>
      </c>
      <c r="F371" s="8">
        <v>13</v>
      </c>
      <c r="G371" s="8">
        <v>337</v>
      </c>
      <c r="H371" s="8">
        <v>7</v>
      </c>
      <c r="I371" s="9">
        <v>46184</v>
      </c>
      <c r="J371" s="9">
        <v>46188</v>
      </c>
      <c r="K371" s="8" t="s">
        <v>15</v>
      </c>
      <c r="L371">
        <f t="shared" si="10"/>
        <v>4074.33</v>
      </c>
      <c r="M371" t="str">
        <f t="shared" si="11"/>
        <v>Average</v>
      </c>
    </row>
    <row r="372" spans="1:13" x14ac:dyDescent="0.3">
      <c r="A372" s="8">
        <v>1371</v>
      </c>
      <c r="B372" s="8" t="s">
        <v>48</v>
      </c>
      <c r="C372" s="8" t="s">
        <v>38</v>
      </c>
      <c r="D372" s="8" t="s">
        <v>18</v>
      </c>
      <c r="E372" s="8" t="s">
        <v>19</v>
      </c>
      <c r="F372" s="8">
        <v>19</v>
      </c>
      <c r="G372" s="8">
        <v>1087</v>
      </c>
      <c r="H372" s="8">
        <v>15</v>
      </c>
      <c r="I372" s="9">
        <v>46072</v>
      </c>
      <c r="J372" s="9">
        <v>46082</v>
      </c>
      <c r="K372" s="8" t="s">
        <v>20</v>
      </c>
      <c r="L372">
        <f t="shared" si="10"/>
        <v>17555.05</v>
      </c>
      <c r="M372" t="str">
        <f t="shared" si="11"/>
        <v>Excellent</v>
      </c>
    </row>
    <row r="373" spans="1:13" x14ac:dyDescent="0.3">
      <c r="A373" s="8">
        <v>1372</v>
      </c>
      <c r="B373" s="8" t="s">
        <v>48</v>
      </c>
      <c r="C373" s="8" t="s">
        <v>17</v>
      </c>
      <c r="D373" s="8" t="s">
        <v>34</v>
      </c>
      <c r="E373" s="8" t="s">
        <v>39</v>
      </c>
      <c r="F373" s="8">
        <v>9</v>
      </c>
      <c r="G373" s="8">
        <v>9551</v>
      </c>
      <c r="H373" s="8">
        <v>10</v>
      </c>
      <c r="I373" s="9">
        <v>46161</v>
      </c>
      <c r="J373" s="9">
        <v>46168</v>
      </c>
      <c r="K373" s="8" t="s">
        <v>15</v>
      </c>
      <c r="L373">
        <f t="shared" si="10"/>
        <v>77363.100000000006</v>
      </c>
      <c r="M373" t="str">
        <f t="shared" si="11"/>
        <v>Excellent</v>
      </c>
    </row>
    <row r="374" spans="1:13" x14ac:dyDescent="0.3">
      <c r="A374" s="8">
        <v>1373</v>
      </c>
      <c r="B374" s="8" t="s">
        <v>54</v>
      </c>
      <c r="C374" s="8" t="s">
        <v>25</v>
      </c>
      <c r="D374" s="8" t="s">
        <v>34</v>
      </c>
      <c r="E374" s="8" t="s">
        <v>60</v>
      </c>
      <c r="F374" s="8">
        <v>11</v>
      </c>
      <c r="G374" s="8">
        <v>47930</v>
      </c>
      <c r="H374" s="8">
        <v>12</v>
      </c>
      <c r="I374" s="9">
        <v>46191</v>
      </c>
      <c r="J374" s="9">
        <v>46201</v>
      </c>
      <c r="K374" s="8" t="s">
        <v>20</v>
      </c>
      <c r="L374">
        <f t="shared" si="10"/>
        <v>463962.4</v>
      </c>
      <c r="M374" t="str">
        <f t="shared" si="11"/>
        <v>Excellent</v>
      </c>
    </row>
    <row r="375" spans="1:13" x14ac:dyDescent="0.3">
      <c r="A375" s="8">
        <v>1374</v>
      </c>
      <c r="B375" s="8" t="s">
        <v>57</v>
      </c>
      <c r="C375" s="8" t="s">
        <v>33</v>
      </c>
      <c r="D375" s="8" t="s">
        <v>34</v>
      </c>
      <c r="E375" s="8" t="s">
        <v>35</v>
      </c>
      <c r="F375" s="8">
        <v>12</v>
      </c>
      <c r="G375" s="8">
        <v>66052</v>
      </c>
      <c r="H375" s="8">
        <v>2</v>
      </c>
      <c r="I375" s="9">
        <v>46063</v>
      </c>
      <c r="J375" s="9">
        <v>46066</v>
      </c>
      <c r="K375" s="8" t="s">
        <v>51</v>
      </c>
      <c r="L375">
        <f t="shared" si="10"/>
        <v>776771.52</v>
      </c>
      <c r="M375" t="str">
        <f t="shared" si="11"/>
        <v>Average</v>
      </c>
    </row>
    <row r="376" spans="1:13" x14ac:dyDescent="0.3">
      <c r="A376" s="8">
        <v>1375</v>
      </c>
      <c r="B376" s="8" t="s">
        <v>46</v>
      </c>
      <c r="C376" s="8" t="s">
        <v>43</v>
      </c>
      <c r="D376" s="8" t="s">
        <v>34</v>
      </c>
      <c r="E376" s="8" t="s">
        <v>45</v>
      </c>
      <c r="F376" s="8">
        <v>20</v>
      </c>
      <c r="G376" s="8">
        <v>56766</v>
      </c>
      <c r="H376" s="8">
        <v>0</v>
      </c>
      <c r="I376" s="9">
        <v>46052</v>
      </c>
      <c r="J376" s="9">
        <v>46061</v>
      </c>
      <c r="K376" s="8" t="s">
        <v>24</v>
      </c>
      <c r="L376">
        <f t="shared" si="10"/>
        <v>1135320</v>
      </c>
      <c r="M376" t="str">
        <f t="shared" si="11"/>
        <v>Average</v>
      </c>
    </row>
    <row r="377" spans="1:13" x14ac:dyDescent="0.3">
      <c r="A377" s="8">
        <v>1376</v>
      </c>
      <c r="B377" s="8" t="s">
        <v>52</v>
      </c>
      <c r="C377" s="8" t="s">
        <v>31</v>
      </c>
      <c r="D377" s="8" t="s">
        <v>13</v>
      </c>
      <c r="E377" s="8" t="s">
        <v>50</v>
      </c>
      <c r="F377" s="8">
        <v>20</v>
      </c>
      <c r="G377" s="8">
        <v>429</v>
      </c>
      <c r="H377" s="8">
        <v>5</v>
      </c>
      <c r="I377" s="9">
        <v>46178</v>
      </c>
      <c r="J377" s="9">
        <v>46184</v>
      </c>
      <c r="K377" s="8" t="s">
        <v>20</v>
      </c>
      <c r="L377">
        <f t="shared" si="10"/>
        <v>8151</v>
      </c>
      <c r="M377" t="str">
        <f t="shared" si="11"/>
        <v>Average</v>
      </c>
    </row>
    <row r="378" spans="1:13" x14ac:dyDescent="0.3">
      <c r="A378" s="8">
        <v>1377</v>
      </c>
      <c r="B378" s="8" t="s">
        <v>32</v>
      </c>
      <c r="C378" s="8" t="s">
        <v>38</v>
      </c>
      <c r="D378" s="8" t="s">
        <v>18</v>
      </c>
      <c r="E378" s="8" t="s">
        <v>19</v>
      </c>
      <c r="F378" s="8">
        <v>3</v>
      </c>
      <c r="G378" s="8">
        <v>5480</v>
      </c>
      <c r="H378" s="8">
        <v>12</v>
      </c>
      <c r="I378" s="9">
        <v>46105</v>
      </c>
      <c r="J378" s="9">
        <v>46111</v>
      </c>
      <c r="K378" s="8" t="s">
        <v>24</v>
      </c>
      <c r="L378">
        <f t="shared" si="10"/>
        <v>14467.2</v>
      </c>
      <c r="M378" t="str">
        <f t="shared" si="11"/>
        <v>Excellent</v>
      </c>
    </row>
    <row r="379" spans="1:13" x14ac:dyDescent="0.3">
      <c r="A379" s="8">
        <v>1378</v>
      </c>
      <c r="B379" s="8" t="s">
        <v>55</v>
      </c>
      <c r="C379" s="8" t="s">
        <v>22</v>
      </c>
      <c r="D379" s="8" t="s">
        <v>34</v>
      </c>
      <c r="E379" s="8" t="s">
        <v>45</v>
      </c>
      <c r="F379" s="8">
        <v>15</v>
      </c>
      <c r="G379" s="8">
        <v>22693</v>
      </c>
      <c r="H379" s="8">
        <v>12</v>
      </c>
      <c r="I379" s="9">
        <v>46074</v>
      </c>
      <c r="J379" s="9">
        <v>46080</v>
      </c>
      <c r="K379" s="8" t="s">
        <v>51</v>
      </c>
      <c r="L379">
        <f t="shared" si="10"/>
        <v>299547.59999999998</v>
      </c>
      <c r="M379" t="str">
        <f t="shared" si="11"/>
        <v>Excellent</v>
      </c>
    </row>
    <row r="380" spans="1:13" x14ac:dyDescent="0.3">
      <c r="A380" s="8">
        <v>1379</v>
      </c>
      <c r="B380" s="8" t="s">
        <v>47</v>
      </c>
      <c r="C380" s="8" t="s">
        <v>17</v>
      </c>
      <c r="D380" s="8" t="s">
        <v>13</v>
      </c>
      <c r="E380" s="8" t="s">
        <v>14</v>
      </c>
      <c r="F380" s="8">
        <v>11</v>
      </c>
      <c r="G380" s="8">
        <v>136</v>
      </c>
      <c r="H380" s="8">
        <v>15</v>
      </c>
      <c r="I380" s="9">
        <v>46106</v>
      </c>
      <c r="J380" s="9">
        <v>46107</v>
      </c>
      <c r="K380" s="8" t="s">
        <v>20</v>
      </c>
      <c r="L380">
        <f t="shared" si="10"/>
        <v>1271.5999999999999</v>
      </c>
      <c r="M380" t="str">
        <f t="shared" si="11"/>
        <v>Average</v>
      </c>
    </row>
    <row r="381" spans="1:13" x14ac:dyDescent="0.3">
      <c r="A381" s="8">
        <v>1380</v>
      </c>
      <c r="B381" s="8" t="s">
        <v>52</v>
      </c>
      <c r="C381" s="8" t="s">
        <v>43</v>
      </c>
      <c r="D381" s="8" t="s">
        <v>13</v>
      </c>
      <c r="E381" s="8" t="s">
        <v>53</v>
      </c>
      <c r="F381" s="8">
        <v>3</v>
      </c>
      <c r="G381" s="8">
        <v>412</v>
      </c>
      <c r="H381" s="8">
        <v>7</v>
      </c>
      <c r="I381" s="9">
        <v>46128</v>
      </c>
      <c r="J381" s="9">
        <v>46138</v>
      </c>
      <c r="K381" s="8" t="s">
        <v>24</v>
      </c>
      <c r="L381">
        <f t="shared" si="10"/>
        <v>1149.48</v>
      </c>
      <c r="M381" t="str">
        <f t="shared" si="11"/>
        <v>Excellent</v>
      </c>
    </row>
    <row r="382" spans="1:13" x14ac:dyDescent="0.3">
      <c r="A382" s="8">
        <v>1381</v>
      </c>
      <c r="B382" s="8" t="s">
        <v>55</v>
      </c>
      <c r="C382" s="8" t="s">
        <v>33</v>
      </c>
      <c r="D382" s="8" t="s">
        <v>18</v>
      </c>
      <c r="E382" s="8" t="s">
        <v>28</v>
      </c>
      <c r="F382" s="8">
        <v>5</v>
      </c>
      <c r="G382" s="8">
        <v>7484</v>
      </c>
      <c r="H382" s="8">
        <v>2</v>
      </c>
      <c r="I382" s="9">
        <v>46089</v>
      </c>
      <c r="J382" s="9">
        <v>46093</v>
      </c>
      <c r="K382" s="8" t="s">
        <v>20</v>
      </c>
      <c r="L382">
        <f t="shared" si="10"/>
        <v>36671.599999999999</v>
      </c>
      <c r="M382" t="str">
        <f t="shared" si="11"/>
        <v>Excellent</v>
      </c>
    </row>
    <row r="383" spans="1:13" x14ac:dyDescent="0.3">
      <c r="A383" s="8">
        <v>1382</v>
      </c>
      <c r="B383" s="8" t="s">
        <v>49</v>
      </c>
      <c r="C383" s="8" t="s">
        <v>33</v>
      </c>
      <c r="D383" s="8" t="s">
        <v>34</v>
      </c>
      <c r="E383" s="8" t="s">
        <v>60</v>
      </c>
      <c r="F383" s="8">
        <v>11</v>
      </c>
      <c r="G383" s="8">
        <v>36198</v>
      </c>
      <c r="H383" s="8">
        <v>0</v>
      </c>
      <c r="I383" s="9">
        <v>46130</v>
      </c>
      <c r="J383" s="9">
        <v>46134</v>
      </c>
      <c r="K383" s="8" t="s">
        <v>15</v>
      </c>
      <c r="L383">
        <f t="shared" si="10"/>
        <v>398178</v>
      </c>
      <c r="M383" t="str">
        <f t="shared" si="11"/>
        <v>Excellent</v>
      </c>
    </row>
    <row r="384" spans="1:13" x14ac:dyDescent="0.3">
      <c r="A384" s="8">
        <v>1383</v>
      </c>
      <c r="B384" s="8" t="s">
        <v>32</v>
      </c>
      <c r="C384" s="8" t="s">
        <v>12</v>
      </c>
      <c r="D384" s="8" t="s">
        <v>13</v>
      </c>
      <c r="E384" s="8" t="s">
        <v>53</v>
      </c>
      <c r="F384" s="8">
        <v>14</v>
      </c>
      <c r="G384" s="8">
        <v>334</v>
      </c>
      <c r="H384" s="8">
        <v>10</v>
      </c>
      <c r="I384" s="9">
        <v>46196</v>
      </c>
      <c r="J384" s="9">
        <v>46203</v>
      </c>
      <c r="K384" s="8" t="s">
        <v>15</v>
      </c>
      <c r="L384">
        <f t="shared" si="10"/>
        <v>4208.4000000000005</v>
      </c>
      <c r="M384" t="str">
        <f t="shared" si="11"/>
        <v>Average</v>
      </c>
    </row>
    <row r="385" spans="1:13" x14ac:dyDescent="0.3">
      <c r="A385" s="8">
        <v>1384</v>
      </c>
      <c r="B385" s="8" t="s">
        <v>59</v>
      </c>
      <c r="C385" s="8" t="s">
        <v>12</v>
      </c>
      <c r="D385" s="8" t="s">
        <v>34</v>
      </c>
      <c r="E385" s="8" t="s">
        <v>39</v>
      </c>
      <c r="F385" s="8">
        <v>15</v>
      </c>
      <c r="G385" s="8">
        <v>38116</v>
      </c>
      <c r="H385" s="8">
        <v>0</v>
      </c>
      <c r="I385" s="9">
        <v>46074</v>
      </c>
      <c r="J385" s="9">
        <v>46078</v>
      </c>
      <c r="K385" s="8" t="s">
        <v>29</v>
      </c>
      <c r="L385">
        <f t="shared" si="10"/>
        <v>571740</v>
      </c>
      <c r="M385" t="str">
        <f t="shared" si="11"/>
        <v>Excellent</v>
      </c>
    </row>
    <row r="386" spans="1:13" x14ac:dyDescent="0.3">
      <c r="A386" s="8">
        <v>1385</v>
      </c>
      <c r="B386" s="8" t="s">
        <v>26</v>
      </c>
      <c r="C386" s="8" t="s">
        <v>33</v>
      </c>
      <c r="D386" s="8" t="s">
        <v>34</v>
      </c>
      <c r="E386" s="8" t="s">
        <v>39</v>
      </c>
      <c r="F386" s="8">
        <v>12</v>
      </c>
      <c r="G386" s="8">
        <v>61360</v>
      </c>
      <c r="H386" s="8">
        <v>10</v>
      </c>
      <c r="I386" s="9">
        <v>46048</v>
      </c>
      <c r="J386" s="9">
        <v>46053</v>
      </c>
      <c r="K386" s="8" t="s">
        <v>51</v>
      </c>
      <c r="L386">
        <f t="shared" si="10"/>
        <v>662688</v>
      </c>
      <c r="M386" t="str">
        <f t="shared" si="11"/>
        <v>Average</v>
      </c>
    </row>
    <row r="387" spans="1:13" x14ac:dyDescent="0.3">
      <c r="A387" s="8">
        <v>1386</v>
      </c>
      <c r="B387" s="8" t="s">
        <v>27</v>
      </c>
      <c r="C387" s="8" t="s">
        <v>31</v>
      </c>
      <c r="D387" s="8" t="s">
        <v>18</v>
      </c>
      <c r="E387" s="8" t="s">
        <v>28</v>
      </c>
      <c r="F387" s="8">
        <v>9</v>
      </c>
      <c r="G387" s="8">
        <v>7509</v>
      </c>
      <c r="H387" s="8">
        <v>5</v>
      </c>
      <c r="I387" s="9">
        <v>46162</v>
      </c>
      <c r="J387" s="9">
        <v>46171</v>
      </c>
      <c r="K387" s="8" t="s">
        <v>51</v>
      </c>
      <c r="L387">
        <f t="shared" ref="L387:L401" si="12">F387*G387*(1-H387/100)</f>
        <v>64201.95</v>
      </c>
      <c r="M387" t="str">
        <f t="shared" ref="M387:M401" si="13">IF(L386&lt;=100000, "Excellent", IF(L386&lt;=50000, "Very Good", IF(L386&lt;=20000, "Good", "Average")))</f>
        <v>Average</v>
      </c>
    </row>
    <row r="388" spans="1:13" x14ac:dyDescent="0.3">
      <c r="A388" s="8">
        <v>1387</v>
      </c>
      <c r="B388" s="8" t="s">
        <v>54</v>
      </c>
      <c r="C388" s="8" t="s">
        <v>33</v>
      </c>
      <c r="D388" s="8" t="s">
        <v>34</v>
      </c>
      <c r="E388" s="8" t="s">
        <v>35</v>
      </c>
      <c r="F388" s="8">
        <v>11</v>
      </c>
      <c r="G388" s="8">
        <v>56515</v>
      </c>
      <c r="H388" s="8">
        <v>5</v>
      </c>
      <c r="I388" s="9">
        <v>46102</v>
      </c>
      <c r="J388" s="9">
        <v>46112</v>
      </c>
      <c r="K388" s="8" t="s">
        <v>24</v>
      </c>
      <c r="L388">
        <f t="shared" si="12"/>
        <v>590581.75</v>
      </c>
      <c r="M388" t="str">
        <f t="shared" si="13"/>
        <v>Excellent</v>
      </c>
    </row>
    <row r="389" spans="1:13" x14ac:dyDescent="0.3">
      <c r="A389" s="8">
        <v>1388</v>
      </c>
      <c r="B389" s="8" t="s">
        <v>55</v>
      </c>
      <c r="C389" s="8" t="s">
        <v>31</v>
      </c>
      <c r="D389" s="8" t="s">
        <v>18</v>
      </c>
      <c r="E389" s="8" t="s">
        <v>28</v>
      </c>
      <c r="F389" s="8">
        <v>12</v>
      </c>
      <c r="G389" s="8">
        <v>11662</v>
      </c>
      <c r="H389" s="8">
        <v>12</v>
      </c>
      <c r="I389" s="9">
        <v>46094</v>
      </c>
      <c r="J389" s="9">
        <v>46096</v>
      </c>
      <c r="K389" s="8" t="s">
        <v>20</v>
      </c>
      <c r="L389">
        <f t="shared" si="12"/>
        <v>123150.72</v>
      </c>
      <c r="M389" t="str">
        <f t="shared" si="13"/>
        <v>Average</v>
      </c>
    </row>
    <row r="390" spans="1:13" x14ac:dyDescent="0.3">
      <c r="A390" s="8">
        <v>1389</v>
      </c>
      <c r="B390" s="8" t="s">
        <v>32</v>
      </c>
      <c r="C390" s="8" t="s">
        <v>12</v>
      </c>
      <c r="D390" s="8" t="s">
        <v>34</v>
      </c>
      <c r="E390" s="8" t="s">
        <v>41</v>
      </c>
      <c r="F390" s="8">
        <v>3</v>
      </c>
      <c r="G390" s="8">
        <v>56380</v>
      </c>
      <c r="H390" s="8">
        <v>5</v>
      </c>
      <c r="I390" s="9">
        <v>46044</v>
      </c>
      <c r="J390" s="9">
        <v>46048</v>
      </c>
      <c r="K390" s="8" t="s">
        <v>51</v>
      </c>
      <c r="L390">
        <f t="shared" si="12"/>
        <v>160683</v>
      </c>
      <c r="M390" t="str">
        <f t="shared" si="13"/>
        <v>Average</v>
      </c>
    </row>
    <row r="391" spans="1:13" x14ac:dyDescent="0.3">
      <c r="A391" s="8">
        <v>1390</v>
      </c>
      <c r="B391" s="8" t="s">
        <v>58</v>
      </c>
      <c r="C391" s="8" t="s">
        <v>43</v>
      </c>
      <c r="D391" s="8" t="s">
        <v>18</v>
      </c>
      <c r="E391" s="8" t="s">
        <v>19</v>
      </c>
      <c r="F391" s="8">
        <v>9</v>
      </c>
      <c r="G391" s="8">
        <v>7670</v>
      </c>
      <c r="H391" s="8">
        <v>0</v>
      </c>
      <c r="I391" s="9">
        <v>46076</v>
      </c>
      <c r="J391" s="9">
        <v>46081</v>
      </c>
      <c r="K391" s="8" t="s">
        <v>51</v>
      </c>
      <c r="L391">
        <f t="shared" si="12"/>
        <v>69030</v>
      </c>
      <c r="M391" t="str">
        <f t="shared" si="13"/>
        <v>Average</v>
      </c>
    </row>
    <row r="392" spans="1:13" x14ac:dyDescent="0.3">
      <c r="A392" s="8">
        <v>1391</v>
      </c>
      <c r="B392" s="8" t="s">
        <v>30</v>
      </c>
      <c r="C392" s="8" t="s">
        <v>31</v>
      </c>
      <c r="D392" s="8" t="s">
        <v>34</v>
      </c>
      <c r="E392" s="8" t="s">
        <v>35</v>
      </c>
      <c r="F392" s="8">
        <v>5</v>
      </c>
      <c r="G392" s="8">
        <v>65270</v>
      </c>
      <c r="H392" s="8">
        <v>5</v>
      </c>
      <c r="I392" s="9">
        <v>46100</v>
      </c>
      <c r="J392" s="9">
        <v>46103</v>
      </c>
      <c r="K392" s="8" t="s">
        <v>24</v>
      </c>
      <c r="L392">
        <f t="shared" si="12"/>
        <v>310032.5</v>
      </c>
      <c r="M392" t="str">
        <f t="shared" si="13"/>
        <v>Excellent</v>
      </c>
    </row>
    <row r="393" spans="1:13" x14ac:dyDescent="0.3">
      <c r="A393" s="8">
        <v>1392</v>
      </c>
      <c r="B393" s="8" t="s">
        <v>29</v>
      </c>
      <c r="C393" s="8" t="s">
        <v>43</v>
      </c>
      <c r="D393" s="8" t="s">
        <v>34</v>
      </c>
      <c r="E393" s="8" t="s">
        <v>35</v>
      </c>
      <c r="F393" s="8">
        <v>13</v>
      </c>
      <c r="G393" s="8">
        <v>23903</v>
      </c>
      <c r="H393" s="8">
        <v>5</v>
      </c>
      <c r="I393" s="9">
        <v>46124</v>
      </c>
      <c r="J393" s="9">
        <v>46125</v>
      </c>
      <c r="K393" s="8" t="s">
        <v>29</v>
      </c>
      <c r="L393">
        <f t="shared" si="12"/>
        <v>295202.05</v>
      </c>
      <c r="M393" t="str">
        <f t="shared" si="13"/>
        <v>Average</v>
      </c>
    </row>
    <row r="394" spans="1:13" x14ac:dyDescent="0.3">
      <c r="A394" s="8">
        <v>1393</v>
      </c>
      <c r="B394" s="8" t="s">
        <v>30</v>
      </c>
      <c r="C394" s="8" t="s">
        <v>25</v>
      </c>
      <c r="D394" s="8" t="s">
        <v>34</v>
      </c>
      <c r="E394" s="8" t="s">
        <v>45</v>
      </c>
      <c r="F394" s="8">
        <v>17</v>
      </c>
      <c r="G394" s="8">
        <v>30351</v>
      </c>
      <c r="H394" s="8">
        <v>15</v>
      </c>
      <c r="I394" s="9">
        <v>46047</v>
      </c>
      <c r="J394" s="9">
        <v>46051</v>
      </c>
      <c r="K394" s="8" t="s">
        <v>51</v>
      </c>
      <c r="L394">
        <f t="shared" si="12"/>
        <v>438571.95</v>
      </c>
      <c r="M394" t="str">
        <f t="shared" si="13"/>
        <v>Average</v>
      </c>
    </row>
    <row r="395" spans="1:13" x14ac:dyDescent="0.3">
      <c r="A395" s="8">
        <v>1394</v>
      </c>
      <c r="B395" s="8" t="s">
        <v>54</v>
      </c>
      <c r="C395" s="8" t="s">
        <v>12</v>
      </c>
      <c r="D395" s="8" t="s">
        <v>13</v>
      </c>
      <c r="E395" s="8" t="s">
        <v>14</v>
      </c>
      <c r="F395" s="8">
        <v>10</v>
      </c>
      <c r="G395" s="8">
        <v>138</v>
      </c>
      <c r="H395" s="8">
        <v>2</v>
      </c>
      <c r="I395" s="9">
        <v>46056</v>
      </c>
      <c r="J395" s="9">
        <v>46057</v>
      </c>
      <c r="K395" s="8" t="s">
        <v>15</v>
      </c>
      <c r="L395">
        <f t="shared" si="12"/>
        <v>1352.3999999999999</v>
      </c>
      <c r="M395" t="str">
        <f t="shared" si="13"/>
        <v>Average</v>
      </c>
    </row>
    <row r="396" spans="1:13" x14ac:dyDescent="0.3">
      <c r="A396" s="8">
        <v>1395</v>
      </c>
      <c r="B396" s="8" t="s">
        <v>54</v>
      </c>
      <c r="C396" s="8" t="s">
        <v>33</v>
      </c>
      <c r="D396" s="8" t="s">
        <v>18</v>
      </c>
      <c r="E396" s="8" t="s">
        <v>44</v>
      </c>
      <c r="F396" s="8">
        <v>18</v>
      </c>
      <c r="G396" s="8">
        <v>10402</v>
      </c>
      <c r="H396" s="8">
        <v>15</v>
      </c>
      <c r="I396" s="9">
        <v>46062</v>
      </c>
      <c r="J396" s="9">
        <v>46067</v>
      </c>
      <c r="K396" s="8" t="s">
        <v>29</v>
      </c>
      <c r="L396">
        <f t="shared" si="12"/>
        <v>159150.6</v>
      </c>
      <c r="M396" t="str">
        <f t="shared" si="13"/>
        <v>Excellent</v>
      </c>
    </row>
    <row r="397" spans="1:13" x14ac:dyDescent="0.3">
      <c r="A397" s="8">
        <v>1396</v>
      </c>
      <c r="B397" s="8" t="s">
        <v>21</v>
      </c>
      <c r="C397" s="8" t="s">
        <v>38</v>
      </c>
      <c r="D397" s="8" t="s">
        <v>13</v>
      </c>
      <c r="E397" s="8" t="s">
        <v>53</v>
      </c>
      <c r="F397" s="8">
        <v>8</v>
      </c>
      <c r="G397" s="8">
        <v>54</v>
      </c>
      <c r="H397" s="8">
        <v>15</v>
      </c>
      <c r="I397" s="9">
        <v>46031</v>
      </c>
      <c r="J397" s="9">
        <v>46035</v>
      </c>
      <c r="K397" s="8" t="s">
        <v>15</v>
      </c>
      <c r="L397">
        <f t="shared" si="12"/>
        <v>367.2</v>
      </c>
      <c r="M397" t="str">
        <f t="shared" si="13"/>
        <v>Average</v>
      </c>
    </row>
    <row r="398" spans="1:13" x14ac:dyDescent="0.3">
      <c r="A398" s="8">
        <v>1397</v>
      </c>
      <c r="B398" s="8" t="s">
        <v>21</v>
      </c>
      <c r="C398" s="8" t="s">
        <v>33</v>
      </c>
      <c r="D398" s="8" t="s">
        <v>18</v>
      </c>
      <c r="E398" s="8" t="s">
        <v>23</v>
      </c>
      <c r="F398" s="8">
        <v>1</v>
      </c>
      <c r="G398" s="8">
        <v>8948</v>
      </c>
      <c r="H398" s="8">
        <v>5</v>
      </c>
      <c r="I398" s="9">
        <v>46194</v>
      </c>
      <c r="J398" s="9">
        <v>46201</v>
      </c>
      <c r="K398" s="8" t="s">
        <v>51</v>
      </c>
      <c r="L398">
        <f t="shared" si="12"/>
        <v>8500.6</v>
      </c>
      <c r="M398" t="str">
        <f t="shared" si="13"/>
        <v>Excellent</v>
      </c>
    </row>
    <row r="399" spans="1:13" x14ac:dyDescent="0.3">
      <c r="A399" s="8">
        <v>1398</v>
      </c>
      <c r="B399" s="8" t="s">
        <v>58</v>
      </c>
      <c r="C399" s="8" t="s">
        <v>43</v>
      </c>
      <c r="D399" s="8" t="s">
        <v>34</v>
      </c>
      <c r="E399" s="8" t="s">
        <v>39</v>
      </c>
      <c r="F399" s="8">
        <v>12</v>
      </c>
      <c r="G399" s="8">
        <v>10668</v>
      </c>
      <c r="H399" s="8">
        <v>0</v>
      </c>
      <c r="I399" s="9">
        <v>46170</v>
      </c>
      <c r="J399" s="9">
        <v>46176</v>
      </c>
      <c r="K399" s="8" t="s">
        <v>15</v>
      </c>
      <c r="L399">
        <f t="shared" si="12"/>
        <v>128016</v>
      </c>
      <c r="M399" t="str">
        <f t="shared" si="13"/>
        <v>Excellent</v>
      </c>
    </row>
    <row r="400" spans="1:13" x14ac:dyDescent="0.3">
      <c r="A400" s="8">
        <v>1399</v>
      </c>
      <c r="B400" s="8" t="s">
        <v>48</v>
      </c>
      <c r="C400" s="8" t="s">
        <v>31</v>
      </c>
      <c r="D400" s="8" t="s">
        <v>13</v>
      </c>
      <c r="E400" s="8" t="s">
        <v>14</v>
      </c>
      <c r="F400" s="8">
        <v>15</v>
      </c>
      <c r="G400" s="8">
        <v>87</v>
      </c>
      <c r="H400" s="8">
        <v>15</v>
      </c>
      <c r="I400" s="9">
        <v>46089</v>
      </c>
      <c r="J400" s="9">
        <v>46093</v>
      </c>
      <c r="K400" s="8" t="s">
        <v>20</v>
      </c>
      <c r="L400">
        <f t="shared" si="12"/>
        <v>1109.25</v>
      </c>
      <c r="M400" t="str">
        <f t="shared" si="13"/>
        <v>Average</v>
      </c>
    </row>
    <row r="401" spans="1:13" x14ac:dyDescent="0.3">
      <c r="A401" s="8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8" t="s">
        <v>20</v>
      </c>
      <c r="L401">
        <f t="shared" si="12"/>
        <v>579141.54999999993</v>
      </c>
      <c r="M401" t="str">
        <f t="shared" si="13"/>
        <v>Excellent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0F15-66A8-4BC2-92FC-3C858B2BCEB1}">
  <dimension ref="A1:L401"/>
  <sheetViews>
    <sheetView workbookViewId="0">
      <selection activeCell="O393" sqref="O393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7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72</v>
      </c>
    </row>
    <row r="2" spans="1:12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t="str">
        <f>_xlfn.CONCAT(B2, "-",E2)</f>
        <v>Ritesh-Notebook</v>
      </c>
    </row>
    <row r="3" spans="1:12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t="str">
        <f t="shared" ref="L3:L66" si="0">_xlfn.CONCAT(B3, "-",E3)</f>
        <v>Pooja-Desk</v>
      </c>
    </row>
    <row r="4" spans="1:12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t="str">
        <f t="shared" si="0"/>
        <v>Meera-Table</v>
      </c>
    </row>
    <row r="5" spans="1:12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t="str">
        <f t="shared" si="0"/>
        <v>Pooja-Table</v>
      </c>
    </row>
    <row r="6" spans="1:12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t="str">
        <f t="shared" si="0"/>
        <v>Vikram-Notebook</v>
      </c>
    </row>
    <row r="7" spans="1:12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t="str">
        <f t="shared" si="0"/>
        <v>Arjun-Chair</v>
      </c>
    </row>
    <row r="8" spans="1:12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t="str">
        <f t="shared" si="0"/>
        <v>Meera-Notebook</v>
      </c>
    </row>
    <row r="9" spans="1:12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t="str">
        <f t="shared" si="0"/>
        <v>Neha-Chair</v>
      </c>
    </row>
    <row r="10" spans="1:12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t="str">
        <f t="shared" si="0"/>
        <v>Asha-Printer</v>
      </c>
    </row>
    <row r="11" spans="1:12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t="str">
        <f t="shared" si="0"/>
        <v>Ritesh-Stapler</v>
      </c>
    </row>
    <row r="12" spans="1:12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t="str">
        <f t="shared" si="0"/>
        <v>Ritesh-Pen Pack</v>
      </c>
    </row>
    <row r="13" spans="1:12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t="str">
        <f t="shared" si="0"/>
        <v>Vikram-Keyboard</v>
      </c>
    </row>
    <row r="14" spans="1:12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t="str">
        <f t="shared" si="0"/>
        <v>Pooja-Stapler</v>
      </c>
    </row>
    <row r="15" spans="1:12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t="str">
        <f t="shared" si="0"/>
        <v>Deepak-Headset</v>
      </c>
    </row>
    <row r="16" spans="1:12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t="str">
        <f t="shared" si="0"/>
        <v>Nisha-Bookshelf</v>
      </c>
    </row>
    <row r="17" spans="1:12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t="str">
        <f t="shared" si="0"/>
        <v>Asha-Monitor</v>
      </c>
    </row>
    <row r="18" spans="1:12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t="str">
        <f t="shared" si="0"/>
        <v>Kiran-Stapler</v>
      </c>
    </row>
    <row r="19" spans="1:12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t="str">
        <f t="shared" si="0"/>
        <v>Yash-Notebook</v>
      </c>
    </row>
    <row r="20" spans="1:12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t="str">
        <f t="shared" si="0"/>
        <v>Ritesh-Headset</v>
      </c>
    </row>
    <row r="21" spans="1:12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t="str">
        <f t="shared" si="0"/>
        <v>Kiran-Desk</v>
      </c>
    </row>
    <row r="22" spans="1:12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t="str">
        <f t="shared" si="0"/>
        <v>Nitin-Notebook</v>
      </c>
    </row>
    <row r="23" spans="1:12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t="str">
        <f t="shared" si="0"/>
        <v>Vikram-Monitor</v>
      </c>
    </row>
    <row r="24" spans="1:12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t="str">
        <f t="shared" si="0"/>
        <v>Deepak-Bookshelf</v>
      </c>
    </row>
    <row r="25" spans="1:12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t="str">
        <f t="shared" si="0"/>
        <v>Asha-Headset</v>
      </c>
    </row>
    <row r="26" spans="1:12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t="str">
        <f t="shared" si="0"/>
        <v>Meera-Desk</v>
      </c>
    </row>
    <row r="27" spans="1:12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t="str">
        <f t="shared" si="0"/>
        <v>Ajay-Marker</v>
      </c>
    </row>
    <row r="28" spans="1:12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t="str">
        <f t="shared" si="0"/>
        <v>Priya-Marker</v>
      </c>
    </row>
    <row r="29" spans="1:12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t="str">
        <f t="shared" si="0"/>
        <v>Yash-Stapler</v>
      </c>
    </row>
    <row r="30" spans="1:12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t="str">
        <f t="shared" si="0"/>
        <v>Neha-Stapler</v>
      </c>
    </row>
    <row r="31" spans="1:12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t="str">
        <f t="shared" si="0"/>
        <v>Komal-Diary</v>
      </c>
    </row>
    <row r="32" spans="1:12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t="str">
        <f t="shared" si="0"/>
        <v>Manoj-Diary</v>
      </c>
    </row>
    <row r="33" spans="1:12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t="str">
        <f t="shared" si="0"/>
        <v>Manoj-Keyboard</v>
      </c>
    </row>
    <row r="34" spans="1:12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t="str">
        <f t="shared" si="0"/>
        <v>Ritesh-Desk</v>
      </c>
    </row>
    <row r="35" spans="1:12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t="str">
        <f t="shared" si="0"/>
        <v>Sneha-Chair</v>
      </c>
    </row>
    <row r="36" spans="1:12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t="str">
        <f t="shared" si="0"/>
        <v>Ajay-Cabinet</v>
      </c>
    </row>
    <row r="37" spans="1:12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t="str">
        <f t="shared" si="0"/>
        <v>Ritesh-Stapler</v>
      </c>
    </row>
    <row r="38" spans="1:12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t="str">
        <f t="shared" si="0"/>
        <v>Kiran-Cabinet</v>
      </c>
    </row>
    <row r="39" spans="1:12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t="str">
        <f t="shared" si="0"/>
        <v>Sneha-Stapler</v>
      </c>
    </row>
    <row r="40" spans="1:12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t="str">
        <f t="shared" si="0"/>
        <v>Nitin-Monitor</v>
      </c>
    </row>
    <row r="41" spans="1:12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t="str">
        <f t="shared" si="0"/>
        <v>Ajay-Chair</v>
      </c>
    </row>
    <row r="42" spans="1:12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t="str">
        <f t="shared" si="0"/>
        <v>Manoj-Marker</v>
      </c>
    </row>
    <row r="43" spans="1:12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t="str">
        <f t="shared" si="0"/>
        <v>Kiran-Diary</v>
      </c>
    </row>
    <row r="44" spans="1:12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t="str">
        <f t="shared" si="0"/>
        <v>Ajay-Printer</v>
      </c>
    </row>
    <row r="45" spans="1:12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t="str">
        <f t="shared" si="0"/>
        <v>Nitin-Desk</v>
      </c>
    </row>
    <row r="46" spans="1:12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t="str">
        <f t="shared" si="0"/>
        <v>Asha-Printer</v>
      </c>
    </row>
    <row r="47" spans="1:12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t="str">
        <f t="shared" si="0"/>
        <v>Sara-Monitor</v>
      </c>
    </row>
    <row r="48" spans="1:12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t="str">
        <f t="shared" si="0"/>
        <v>Rohan-Cabinet</v>
      </c>
    </row>
    <row r="49" spans="1:12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t="str">
        <f t="shared" si="0"/>
        <v>Anita-Laptop</v>
      </c>
    </row>
    <row r="50" spans="1:12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t="str">
        <f t="shared" si="0"/>
        <v>Komal-Monitor</v>
      </c>
    </row>
    <row r="51" spans="1:12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t="str">
        <f t="shared" si="0"/>
        <v>Asha-Diary</v>
      </c>
    </row>
    <row r="52" spans="1:12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t="str">
        <f t="shared" si="0"/>
        <v>Rohan-Stapler</v>
      </c>
    </row>
    <row r="53" spans="1:12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t="str">
        <f t="shared" si="0"/>
        <v>Sneha-Notebook</v>
      </c>
    </row>
    <row r="54" spans="1:12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t="str">
        <f t="shared" si="0"/>
        <v>Pooja-Chair</v>
      </c>
    </row>
    <row r="55" spans="1:12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t="str">
        <f t="shared" si="0"/>
        <v>Vikram-Table</v>
      </c>
    </row>
    <row r="56" spans="1:12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t="str">
        <f t="shared" si="0"/>
        <v>Nitin-Pen Pack</v>
      </c>
    </row>
    <row r="57" spans="1:12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t="str">
        <f t="shared" si="0"/>
        <v>Ritesh-Desk</v>
      </c>
    </row>
    <row r="58" spans="1:12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t="str">
        <f t="shared" si="0"/>
        <v>Anita-Chair</v>
      </c>
    </row>
    <row r="59" spans="1:12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t="str">
        <f t="shared" si="0"/>
        <v>Komal-Chair</v>
      </c>
    </row>
    <row r="60" spans="1:12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t="str">
        <f t="shared" si="0"/>
        <v>Manoj-Marker</v>
      </c>
    </row>
    <row r="61" spans="1:12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t="str">
        <f t="shared" si="0"/>
        <v>Ajay-Bookshelf</v>
      </c>
    </row>
    <row r="62" spans="1:12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t="str">
        <f t="shared" si="0"/>
        <v>Sara-Headset</v>
      </c>
    </row>
    <row r="63" spans="1:12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t="str">
        <f t="shared" si="0"/>
        <v>Deepak-Table</v>
      </c>
    </row>
    <row r="64" spans="1:12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t="str">
        <f t="shared" si="0"/>
        <v>Manoj-Monitor</v>
      </c>
    </row>
    <row r="65" spans="1:12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t="str">
        <f t="shared" si="0"/>
        <v>Vikram-Marker</v>
      </c>
    </row>
    <row r="66" spans="1:12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t="str">
        <f t="shared" si="0"/>
        <v>Nisha-Bookshelf</v>
      </c>
    </row>
    <row r="67" spans="1:12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t="str">
        <f t="shared" ref="L67:L130" si="1">_xlfn.CONCAT(B67, "-",E67)</f>
        <v>Yash-Bookshelf</v>
      </c>
    </row>
    <row r="68" spans="1:12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t="str">
        <f t="shared" si="1"/>
        <v>Asha-Cabinet</v>
      </c>
    </row>
    <row r="69" spans="1:12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t="str">
        <f t="shared" si="1"/>
        <v>Komal-Laptop</v>
      </c>
    </row>
    <row r="70" spans="1:12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t="str">
        <f t="shared" si="1"/>
        <v>Komal-Chair</v>
      </c>
    </row>
    <row r="71" spans="1:12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t="str">
        <f t="shared" si="1"/>
        <v>Komal-Stapler</v>
      </c>
    </row>
    <row r="72" spans="1:12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t="str">
        <f t="shared" si="1"/>
        <v>Anita-Mouse</v>
      </c>
    </row>
    <row r="73" spans="1:12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t="str">
        <f t="shared" si="1"/>
        <v>Pooja-Mouse</v>
      </c>
    </row>
    <row r="74" spans="1:12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t="str">
        <f t="shared" si="1"/>
        <v>Rohan-Cabinet</v>
      </c>
    </row>
    <row r="75" spans="1:12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t="str">
        <f t="shared" si="1"/>
        <v>Vikram-Marker</v>
      </c>
    </row>
    <row r="76" spans="1:12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t="str">
        <f t="shared" si="1"/>
        <v>Nisha-Mouse</v>
      </c>
    </row>
    <row r="77" spans="1:12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t="str">
        <f t="shared" si="1"/>
        <v>Priya-Printer</v>
      </c>
    </row>
    <row r="78" spans="1:12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t="str">
        <f t="shared" si="1"/>
        <v>Sneha-Notebook</v>
      </c>
    </row>
    <row r="79" spans="1:12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t="str">
        <f t="shared" si="1"/>
        <v>Komal-Keyboard</v>
      </c>
    </row>
    <row r="80" spans="1:12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t="str">
        <f t="shared" si="1"/>
        <v>Vikram-Headset</v>
      </c>
    </row>
    <row r="81" spans="1:12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t="str">
        <f t="shared" si="1"/>
        <v>Meera-Headset</v>
      </c>
    </row>
    <row r="82" spans="1:12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t="str">
        <f t="shared" si="1"/>
        <v>Yash-Printer</v>
      </c>
    </row>
    <row r="83" spans="1:12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t="str">
        <f t="shared" si="1"/>
        <v>Meera-Notebook</v>
      </c>
    </row>
    <row r="84" spans="1:12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t="str">
        <f t="shared" si="1"/>
        <v>Sneha-Diary</v>
      </c>
    </row>
    <row r="85" spans="1:12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t="str">
        <f t="shared" si="1"/>
        <v>Ajay-Chair</v>
      </c>
    </row>
    <row r="86" spans="1:12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t="str">
        <f t="shared" si="1"/>
        <v>Asha-Laptop</v>
      </c>
    </row>
    <row r="87" spans="1:12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t="str">
        <f t="shared" si="1"/>
        <v>Asha-Diary</v>
      </c>
    </row>
    <row r="88" spans="1:12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t="str">
        <f t="shared" si="1"/>
        <v>Ritesh-Pen Pack</v>
      </c>
    </row>
    <row r="89" spans="1:12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t="str">
        <f t="shared" si="1"/>
        <v>Deepak-Headset</v>
      </c>
    </row>
    <row r="90" spans="1:12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t="str">
        <f t="shared" si="1"/>
        <v>Kiran-Printer</v>
      </c>
    </row>
    <row r="91" spans="1:12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t="str">
        <f t="shared" si="1"/>
        <v>Ajay-Monitor</v>
      </c>
    </row>
    <row r="92" spans="1:12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t="str">
        <f t="shared" si="1"/>
        <v>Sneha-Diary</v>
      </c>
    </row>
    <row r="93" spans="1:12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t="str">
        <f t="shared" si="1"/>
        <v>Meera-Headset</v>
      </c>
    </row>
    <row r="94" spans="1:12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t="str">
        <f t="shared" si="1"/>
        <v>Yash-Table</v>
      </c>
    </row>
    <row r="95" spans="1:12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t="str">
        <f t="shared" si="1"/>
        <v>Yash-Mouse</v>
      </c>
    </row>
    <row r="96" spans="1:12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t="str">
        <f t="shared" si="1"/>
        <v>Yash-Headset</v>
      </c>
    </row>
    <row r="97" spans="1:12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t="str">
        <f t="shared" si="1"/>
        <v>Ajay-Table</v>
      </c>
    </row>
    <row r="98" spans="1:12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t="str">
        <f t="shared" si="1"/>
        <v>Komal-Mouse</v>
      </c>
    </row>
    <row r="99" spans="1:12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t="str">
        <f t="shared" si="1"/>
        <v>Vikram-Diary</v>
      </c>
    </row>
    <row r="100" spans="1:12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t="str">
        <f t="shared" si="1"/>
        <v>Vikram-Desk</v>
      </c>
    </row>
    <row r="101" spans="1:12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t="str">
        <f t="shared" si="1"/>
        <v>Ritesh-Notebook</v>
      </c>
    </row>
    <row r="102" spans="1:12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t="str">
        <f t="shared" si="1"/>
        <v>Arjun-Mouse</v>
      </c>
    </row>
    <row r="103" spans="1:12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t="str">
        <f t="shared" si="1"/>
        <v>Manoj-Monitor</v>
      </c>
    </row>
    <row r="104" spans="1:12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t="str">
        <f t="shared" si="1"/>
        <v>Pooja-Table</v>
      </c>
    </row>
    <row r="105" spans="1:12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t="str">
        <f t="shared" si="1"/>
        <v>Pooja-Desk</v>
      </c>
    </row>
    <row r="106" spans="1:12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t="str">
        <f t="shared" si="1"/>
        <v>Anita-Marker</v>
      </c>
    </row>
    <row r="107" spans="1:12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t="str">
        <f t="shared" si="1"/>
        <v>Arjun-Table</v>
      </c>
    </row>
    <row r="108" spans="1:12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t="str">
        <f t="shared" si="1"/>
        <v>Komal-Laptop</v>
      </c>
    </row>
    <row r="109" spans="1:12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t="str">
        <f t="shared" si="1"/>
        <v>Nisha-Chair</v>
      </c>
    </row>
    <row r="110" spans="1:12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t="str">
        <f t="shared" si="1"/>
        <v>Meera-Bookshelf</v>
      </c>
    </row>
    <row r="111" spans="1:12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t="str">
        <f t="shared" si="1"/>
        <v>Ajay-Table</v>
      </c>
    </row>
    <row r="112" spans="1:12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t="str">
        <f t="shared" si="1"/>
        <v>Yash-Printer</v>
      </c>
    </row>
    <row r="113" spans="1:12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t="str">
        <f t="shared" si="1"/>
        <v>Meera-Bookshelf</v>
      </c>
    </row>
    <row r="114" spans="1:12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t="str">
        <f t="shared" si="1"/>
        <v>Vikram-Cabinet</v>
      </c>
    </row>
    <row r="115" spans="1:12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t="str">
        <f t="shared" si="1"/>
        <v>Pooja-Marker</v>
      </c>
    </row>
    <row r="116" spans="1:12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t="str">
        <f t="shared" si="1"/>
        <v>Anita-Marker</v>
      </c>
    </row>
    <row r="117" spans="1:12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t="str">
        <f t="shared" si="1"/>
        <v>Pooja-Cabinet</v>
      </c>
    </row>
    <row r="118" spans="1:12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t="str">
        <f t="shared" si="1"/>
        <v>Sneha-Keyboard</v>
      </c>
    </row>
    <row r="119" spans="1:12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t="str">
        <f t="shared" si="1"/>
        <v>Meera-Table</v>
      </c>
    </row>
    <row r="120" spans="1:12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t="str">
        <f t="shared" si="1"/>
        <v>Neha-Chair</v>
      </c>
    </row>
    <row r="121" spans="1:12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t="str">
        <f t="shared" si="1"/>
        <v>Asha-Stapler</v>
      </c>
    </row>
    <row r="122" spans="1:12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t="str">
        <f t="shared" si="1"/>
        <v>Priya-Keyboard</v>
      </c>
    </row>
    <row r="123" spans="1:12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t="str">
        <f t="shared" si="1"/>
        <v>Deepak-Keyboard</v>
      </c>
    </row>
    <row r="124" spans="1:12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t="str">
        <f t="shared" si="1"/>
        <v>Asha-Monitor</v>
      </c>
    </row>
    <row r="125" spans="1:12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t="str">
        <f t="shared" si="1"/>
        <v>Arjun-Cabinet</v>
      </c>
    </row>
    <row r="126" spans="1:12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t="str">
        <f t="shared" si="1"/>
        <v>Ajay-Notebook</v>
      </c>
    </row>
    <row r="127" spans="1:12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t="str">
        <f t="shared" si="1"/>
        <v>Kiran-Keyboard</v>
      </c>
    </row>
    <row r="128" spans="1:12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t="str">
        <f t="shared" si="1"/>
        <v>Vikram-Chair</v>
      </c>
    </row>
    <row r="129" spans="1:12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t="str">
        <f t="shared" si="1"/>
        <v>Neha-Mouse</v>
      </c>
    </row>
    <row r="130" spans="1:12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t="str">
        <f t="shared" si="1"/>
        <v>Rohan-Marker</v>
      </c>
    </row>
    <row r="131" spans="1:12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t="str">
        <f t="shared" ref="L131:L194" si="2">_xlfn.CONCAT(B131, "-",E131)</f>
        <v>Nitin-Notebook</v>
      </c>
    </row>
    <row r="132" spans="1:12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t="str">
        <f t="shared" si="2"/>
        <v>Meera-Table</v>
      </c>
    </row>
    <row r="133" spans="1:12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t="str">
        <f t="shared" si="2"/>
        <v>Ritesh-Marker</v>
      </c>
    </row>
    <row r="134" spans="1:12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t="str">
        <f t="shared" si="2"/>
        <v>Ritesh-Cabinet</v>
      </c>
    </row>
    <row r="135" spans="1:12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t="str">
        <f t="shared" si="2"/>
        <v>Sara-Mouse</v>
      </c>
    </row>
    <row r="136" spans="1:12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t="str">
        <f t="shared" si="2"/>
        <v>Ajay-Keyboard</v>
      </c>
    </row>
    <row r="137" spans="1:12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t="str">
        <f t="shared" si="2"/>
        <v>Arjun-Cabinet</v>
      </c>
    </row>
    <row r="138" spans="1:12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t="str">
        <f t="shared" si="2"/>
        <v>Komal-Pen Pack</v>
      </c>
    </row>
    <row r="139" spans="1:12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t="str">
        <f t="shared" si="2"/>
        <v>Sneha-Desk</v>
      </c>
    </row>
    <row r="140" spans="1:12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t="str">
        <f t="shared" si="2"/>
        <v>Sneha-Mouse</v>
      </c>
    </row>
    <row r="141" spans="1:12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t="str">
        <f t="shared" si="2"/>
        <v>Sara-Headset</v>
      </c>
    </row>
    <row r="142" spans="1:12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t="str">
        <f t="shared" si="2"/>
        <v>Ritesh-Bookshelf</v>
      </c>
    </row>
    <row r="143" spans="1:12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t="str">
        <f t="shared" si="2"/>
        <v>Deepak-Laptop</v>
      </c>
    </row>
    <row r="144" spans="1:12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t="str">
        <f t="shared" si="2"/>
        <v>Priya-Pen Pack</v>
      </c>
    </row>
    <row r="145" spans="1:12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t="str">
        <f t="shared" si="2"/>
        <v>Nisha-Notebook</v>
      </c>
    </row>
    <row r="146" spans="1:12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t="str">
        <f t="shared" si="2"/>
        <v>Nisha-Keyboard</v>
      </c>
    </row>
    <row r="147" spans="1:12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t="str">
        <f t="shared" si="2"/>
        <v>Pooja-Monitor</v>
      </c>
    </row>
    <row r="148" spans="1:12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t="str">
        <f t="shared" si="2"/>
        <v>Ritesh-Chair</v>
      </c>
    </row>
    <row r="149" spans="1:12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t="str">
        <f t="shared" si="2"/>
        <v>Anita-Chair</v>
      </c>
    </row>
    <row r="150" spans="1:12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t="str">
        <f t="shared" si="2"/>
        <v>Vikram-Printer</v>
      </c>
    </row>
    <row r="151" spans="1:12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t="str">
        <f t="shared" si="2"/>
        <v>Nisha-Cabinet</v>
      </c>
    </row>
    <row r="152" spans="1:12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t="str">
        <f t="shared" si="2"/>
        <v>Kiran-Marker</v>
      </c>
    </row>
    <row r="153" spans="1:12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t="str">
        <f t="shared" si="2"/>
        <v>Arjun-Mouse</v>
      </c>
    </row>
    <row r="154" spans="1:12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t="str">
        <f t="shared" si="2"/>
        <v>Nisha-Table</v>
      </c>
    </row>
    <row r="155" spans="1:12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t="str">
        <f t="shared" si="2"/>
        <v>Asha-Cabinet</v>
      </c>
    </row>
    <row r="156" spans="1:12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t="str">
        <f t="shared" si="2"/>
        <v>Ritesh-Chair</v>
      </c>
    </row>
    <row r="157" spans="1:12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t="str">
        <f t="shared" si="2"/>
        <v>Manoj-Stapler</v>
      </c>
    </row>
    <row r="158" spans="1:12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t="str">
        <f t="shared" si="2"/>
        <v>Komal-Marker</v>
      </c>
    </row>
    <row r="159" spans="1:12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t="str">
        <f t="shared" si="2"/>
        <v>Vikram-Headset</v>
      </c>
    </row>
    <row r="160" spans="1:12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t="str">
        <f t="shared" si="2"/>
        <v>Asha-Chair</v>
      </c>
    </row>
    <row r="161" spans="1:12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t="str">
        <f t="shared" si="2"/>
        <v>Anita-Keyboard</v>
      </c>
    </row>
    <row r="162" spans="1:12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t="str">
        <f t="shared" si="2"/>
        <v>Arjun-Keyboard</v>
      </c>
    </row>
    <row r="163" spans="1:12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t="str">
        <f t="shared" si="2"/>
        <v>Sara-Monitor</v>
      </c>
    </row>
    <row r="164" spans="1:12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t="str">
        <f t="shared" si="2"/>
        <v>Priya-Keyboard</v>
      </c>
    </row>
    <row r="165" spans="1:12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t="str">
        <f t="shared" si="2"/>
        <v>Deepak-Mouse</v>
      </c>
    </row>
    <row r="166" spans="1:12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t="str">
        <f t="shared" si="2"/>
        <v>Nitin-Pen Pack</v>
      </c>
    </row>
    <row r="167" spans="1:12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t="str">
        <f t="shared" si="2"/>
        <v>Asha-Pen Pack</v>
      </c>
    </row>
    <row r="168" spans="1:12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t="str">
        <f t="shared" si="2"/>
        <v>Nitin-Pen Pack</v>
      </c>
    </row>
    <row r="169" spans="1:12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t="str">
        <f t="shared" si="2"/>
        <v>Manoj-Pen Pack</v>
      </c>
    </row>
    <row r="170" spans="1:12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t="str">
        <f t="shared" si="2"/>
        <v>Yash-Cabinet</v>
      </c>
    </row>
    <row r="171" spans="1:12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t="str">
        <f t="shared" si="2"/>
        <v>Ajay-Notebook</v>
      </c>
    </row>
    <row r="172" spans="1:12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t="str">
        <f t="shared" si="2"/>
        <v>Sara-Marker</v>
      </c>
    </row>
    <row r="173" spans="1:12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t="str">
        <f t="shared" si="2"/>
        <v>Pooja-Monitor</v>
      </c>
    </row>
    <row r="174" spans="1:12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t="str">
        <f t="shared" si="2"/>
        <v>Deepak-Pen Pack</v>
      </c>
    </row>
    <row r="175" spans="1:12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t="str">
        <f t="shared" si="2"/>
        <v>Rohan-Notebook</v>
      </c>
    </row>
    <row r="176" spans="1:12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t="str">
        <f t="shared" si="2"/>
        <v>Vikram-Headset</v>
      </c>
    </row>
    <row r="177" spans="1:12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t="str">
        <f t="shared" si="2"/>
        <v>Rohan-Headset</v>
      </c>
    </row>
    <row r="178" spans="1:12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t="str">
        <f t="shared" si="2"/>
        <v>Priya-Desk</v>
      </c>
    </row>
    <row r="179" spans="1:12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t="str">
        <f t="shared" si="2"/>
        <v>Sara-Marker</v>
      </c>
    </row>
    <row r="180" spans="1:12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t="str">
        <f t="shared" si="2"/>
        <v>Yash-Keyboard</v>
      </c>
    </row>
    <row r="181" spans="1:12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t="str">
        <f t="shared" si="2"/>
        <v>Deepak-Chair</v>
      </c>
    </row>
    <row r="182" spans="1:12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t="str">
        <f t="shared" si="2"/>
        <v>Rohan-Stapler</v>
      </c>
    </row>
    <row r="183" spans="1:12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t="str">
        <f t="shared" si="2"/>
        <v>Nisha-Keyboard</v>
      </c>
    </row>
    <row r="184" spans="1:12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t="str">
        <f t="shared" si="2"/>
        <v>Komal-Notebook</v>
      </c>
    </row>
    <row r="185" spans="1:12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t="str">
        <f t="shared" si="2"/>
        <v>Deepak-Keyboard</v>
      </c>
    </row>
    <row r="186" spans="1:12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t="str">
        <f t="shared" si="2"/>
        <v>Rohan-Laptop</v>
      </c>
    </row>
    <row r="187" spans="1:12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t="str">
        <f t="shared" si="2"/>
        <v>Pooja-Bookshelf</v>
      </c>
    </row>
    <row r="188" spans="1:12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t="str">
        <f t="shared" si="2"/>
        <v>Manoj-Monitor</v>
      </c>
    </row>
    <row r="189" spans="1:12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t="str">
        <f t="shared" si="2"/>
        <v>Priya-Cabinet</v>
      </c>
    </row>
    <row r="190" spans="1:12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t="str">
        <f t="shared" si="2"/>
        <v>Ajay-Cabinet</v>
      </c>
    </row>
    <row r="191" spans="1:12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t="str">
        <f t="shared" si="2"/>
        <v>Sara-Chair</v>
      </c>
    </row>
    <row r="192" spans="1:12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t="str">
        <f t="shared" si="2"/>
        <v>Komal-Cabinet</v>
      </c>
    </row>
    <row r="193" spans="1:12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t="str">
        <f t="shared" si="2"/>
        <v>Meera-Diary</v>
      </c>
    </row>
    <row r="194" spans="1:12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t="str">
        <f t="shared" si="2"/>
        <v>Sara-Table</v>
      </c>
    </row>
    <row r="195" spans="1:12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t="str">
        <f t="shared" ref="L195:L258" si="3">_xlfn.CONCAT(B195, "-",E195)</f>
        <v>Sara-Chair</v>
      </c>
    </row>
    <row r="196" spans="1:12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t="str">
        <f t="shared" si="3"/>
        <v>Anita-Marker</v>
      </c>
    </row>
    <row r="197" spans="1:12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t="str">
        <f t="shared" si="3"/>
        <v>Nitin-Printer</v>
      </c>
    </row>
    <row r="198" spans="1:12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t="str">
        <f t="shared" si="3"/>
        <v>Komal-Printer</v>
      </c>
    </row>
    <row r="199" spans="1:12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t="str">
        <f t="shared" si="3"/>
        <v>Rohan-Notebook</v>
      </c>
    </row>
    <row r="200" spans="1:12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t="str">
        <f t="shared" si="3"/>
        <v>Ritesh-Monitor</v>
      </c>
    </row>
    <row r="201" spans="1:12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t="str">
        <f t="shared" si="3"/>
        <v>Priya-Monitor</v>
      </c>
    </row>
    <row r="202" spans="1:12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t="str">
        <f t="shared" si="3"/>
        <v>Manoj-Diary</v>
      </c>
    </row>
    <row r="203" spans="1:12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t="str">
        <f t="shared" si="3"/>
        <v>Sara-Printer</v>
      </c>
    </row>
    <row r="204" spans="1:12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t="str">
        <f t="shared" si="3"/>
        <v>Deepak-Table</v>
      </c>
    </row>
    <row r="205" spans="1:12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t="str">
        <f t="shared" si="3"/>
        <v>Pooja-Pen Pack</v>
      </c>
    </row>
    <row r="206" spans="1:12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t="str">
        <f t="shared" si="3"/>
        <v>Meera-Stapler</v>
      </c>
    </row>
    <row r="207" spans="1:12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t="str">
        <f t="shared" si="3"/>
        <v>Sneha-Notebook</v>
      </c>
    </row>
    <row r="208" spans="1:12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t="str">
        <f t="shared" si="3"/>
        <v>Sneha-Diary</v>
      </c>
    </row>
    <row r="209" spans="1:12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t="str">
        <f t="shared" si="3"/>
        <v>Manoj-Bookshelf</v>
      </c>
    </row>
    <row r="210" spans="1:12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t="str">
        <f t="shared" si="3"/>
        <v>Nitin-Printer</v>
      </c>
    </row>
    <row r="211" spans="1:12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t="str">
        <f t="shared" si="3"/>
        <v>Neha-Diary</v>
      </c>
    </row>
    <row r="212" spans="1:12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t="str">
        <f t="shared" si="3"/>
        <v>Nitin-Printer</v>
      </c>
    </row>
    <row r="213" spans="1:12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t="str">
        <f t="shared" si="3"/>
        <v>Anita-Laptop</v>
      </c>
    </row>
    <row r="214" spans="1:12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t="str">
        <f t="shared" si="3"/>
        <v>Asha-Monitor</v>
      </c>
    </row>
    <row r="215" spans="1:12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t="str">
        <f t="shared" si="3"/>
        <v>Nisha-Chair</v>
      </c>
    </row>
    <row r="216" spans="1:12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t="str">
        <f t="shared" si="3"/>
        <v>Arjun-Chair</v>
      </c>
    </row>
    <row r="217" spans="1:12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t="str">
        <f t="shared" si="3"/>
        <v>Deepak-Monitor</v>
      </c>
    </row>
    <row r="218" spans="1:12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t="str">
        <f t="shared" si="3"/>
        <v>Neha-Marker</v>
      </c>
    </row>
    <row r="219" spans="1:12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t="str">
        <f t="shared" si="3"/>
        <v>Sneha-Notebook</v>
      </c>
    </row>
    <row r="220" spans="1:12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t="str">
        <f t="shared" si="3"/>
        <v>Kiran-Notebook</v>
      </c>
    </row>
    <row r="221" spans="1:12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t="str">
        <f t="shared" si="3"/>
        <v>Ritesh-Cabinet</v>
      </c>
    </row>
    <row r="222" spans="1:12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t="str">
        <f t="shared" si="3"/>
        <v>Ritesh-Cabinet</v>
      </c>
    </row>
    <row r="223" spans="1:12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t="str">
        <f t="shared" si="3"/>
        <v>Neha-Table</v>
      </c>
    </row>
    <row r="224" spans="1:12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t="str">
        <f t="shared" si="3"/>
        <v>Anita-Table</v>
      </c>
    </row>
    <row r="225" spans="1:12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t="str">
        <f t="shared" si="3"/>
        <v>Neha-Monitor</v>
      </c>
    </row>
    <row r="226" spans="1:12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t="str">
        <f t="shared" si="3"/>
        <v>Nisha-Printer</v>
      </c>
    </row>
    <row r="227" spans="1:12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t="str">
        <f t="shared" si="3"/>
        <v>Priya-Headset</v>
      </c>
    </row>
    <row r="228" spans="1:12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t="str">
        <f t="shared" si="3"/>
        <v>Rohan-Monitor</v>
      </c>
    </row>
    <row r="229" spans="1:12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t="str">
        <f t="shared" si="3"/>
        <v>Priya-Monitor</v>
      </c>
    </row>
    <row r="230" spans="1:12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t="str">
        <f t="shared" si="3"/>
        <v>Sara-Cabinet</v>
      </c>
    </row>
    <row r="231" spans="1:12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t="str">
        <f t="shared" si="3"/>
        <v>Anita-Laptop</v>
      </c>
    </row>
    <row r="232" spans="1:12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t="str">
        <f t="shared" si="3"/>
        <v>Nitin-Desk</v>
      </c>
    </row>
    <row r="233" spans="1:12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t="str">
        <f t="shared" si="3"/>
        <v>Meera-Laptop</v>
      </c>
    </row>
    <row r="234" spans="1:12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t="str">
        <f t="shared" si="3"/>
        <v>Rohan-Desk</v>
      </c>
    </row>
    <row r="235" spans="1:12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t="str">
        <f t="shared" si="3"/>
        <v>Ritesh-Chair</v>
      </c>
    </row>
    <row r="236" spans="1:12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t="str">
        <f t="shared" si="3"/>
        <v>Sara-Marker</v>
      </c>
    </row>
    <row r="237" spans="1:12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t="str">
        <f t="shared" si="3"/>
        <v>Manoj-Pen Pack</v>
      </c>
    </row>
    <row r="238" spans="1:12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t="str">
        <f t="shared" si="3"/>
        <v>Kiran-Cabinet</v>
      </c>
    </row>
    <row r="239" spans="1:12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t="str">
        <f t="shared" si="3"/>
        <v>Neha-Notebook</v>
      </c>
    </row>
    <row r="240" spans="1:12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t="str">
        <f t="shared" si="3"/>
        <v>Nitin-Cabinet</v>
      </c>
    </row>
    <row r="241" spans="1:12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t="str">
        <f t="shared" si="3"/>
        <v>Sneha-Table</v>
      </c>
    </row>
    <row r="242" spans="1:12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t="str">
        <f t="shared" si="3"/>
        <v>Kiran-Bookshelf</v>
      </c>
    </row>
    <row r="243" spans="1:12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t="str">
        <f t="shared" si="3"/>
        <v>Manoj-Marker</v>
      </c>
    </row>
    <row r="244" spans="1:12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t="str">
        <f t="shared" si="3"/>
        <v>Neha-Headset</v>
      </c>
    </row>
    <row r="245" spans="1:12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t="str">
        <f t="shared" si="3"/>
        <v>Sara-Chair</v>
      </c>
    </row>
    <row r="246" spans="1:12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t="str">
        <f t="shared" si="3"/>
        <v>Sneha-Headset</v>
      </c>
    </row>
    <row r="247" spans="1:12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t="str">
        <f t="shared" si="3"/>
        <v>Sneha-Printer</v>
      </c>
    </row>
    <row r="248" spans="1:12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t="str">
        <f t="shared" si="3"/>
        <v>Vikram-Marker</v>
      </c>
    </row>
    <row r="249" spans="1:12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t="str">
        <f t="shared" si="3"/>
        <v>Arjun-Pen Pack</v>
      </c>
    </row>
    <row r="250" spans="1:12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t="str">
        <f t="shared" si="3"/>
        <v>Pooja-Headset</v>
      </c>
    </row>
    <row r="251" spans="1:12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t="str">
        <f t="shared" si="3"/>
        <v>Ritesh-Monitor</v>
      </c>
    </row>
    <row r="252" spans="1:12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t="str">
        <f t="shared" si="3"/>
        <v>Sneha-Mouse</v>
      </c>
    </row>
    <row r="253" spans="1:12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t="str">
        <f t="shared" si="3"/>
        <v>Yash-Stapler</v>
      </c>
    </row>
    <row r="254" spans="1:12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t="str">
        <f t="shared" si="3"/>
        <v>Meera-Monitor</v>
      </c>
    </row>
    <row r="255" spans="1:12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t="str">
        <f t="shared" si="3"/>
        <v>Komal-Marker</v>
      </c>
    </row>
    <row r="256" spans="1:12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t="str">
        <f t="shared" si="3"/>
        <v>Asha-Desk</v>
      </c>
    </row>
    <row r="257" spans="1:12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t="str">
        <f t="shared" si="3"/>
        <v>Nitin-Marker</v>
      </c>
    </row>
    <row r="258" spans="1:12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t="str">
        <f t="shared" si="3"/>
        <v>Manoj-Mouse</v>
      </c>
    </row>
    <row r="259" spans="1:12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t="str">
        <f t="shared" ref="L259:L322" si="4">_xlfn.CONCAT(B259, "-",E259)</f>
        <v>Asha-Laptop</v>
      </c>
    </row>
    <row r="260" spans="1:12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t="str">
        <f t="shared" si="4"/>
        <v>Nisha-Monitor</v>
      </c>
    </row>
    <row r="261" spans="1:12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t="str">
        <f t="shared" si="4"/>
        <v>Manoj-Headset</v>
      </c>
    </row>
    <row r="262" spans="1:12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t="str">
        <f t="shared" si="4"/>
        <v>Deepak-Marker</v>
      </c>
    </row>
    <row r="263" spans="1:12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t="str">
        <f t="shared" si="4"/>
        <v>Pooja-Chair</v>
      </c>
    </row>
    <row r="264" spans="1:12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t="str">
        <f t="shared" si="4"/>
        <v>Priya-Chair</v>
      </c>
    </row>
    <row r="265" spans="1:12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t="str">
        <f t="shared" si="4"/>
        <v>Ritesh-Chair</v>
      </c>
    </row>
    <row r="266" spans="1:12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t="str">
        <f t="shared" si="4"/>
        <v>Rohan-Desk</v>
      </c>
    </row>
    <row r="267" spans="1:12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t="str">
        <f t="shared" si="4"/>
        <v>Priya-Notebook</v>
      </c>
    </row>
    <row r="268" spans="1:12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t="str">
        <f t="shared" si="4"/>
        <v>Arjun-Marker</v>
      </c>
    </row>
    <row r="269" spans="1:12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t="str">
        <f t="shared" si="4"/>
        <v>Nisha-Monitor</v>
      </c>
    </row>
    <row r="270" spans="1:12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t="str">
        <f t="shared" si="4"/>
        <v>Komal-Desk</v>
      </c>
    </row>
    <row r="271" spans="1:12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t="str">
        <f t="shared" si="4"/>
        <v>Ajay-Printer</v>
      </c>
    </row>
    <row r="272" spans="1:12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t="str">
        <f t="shared" si="4"/>
        <v>Deepak-Laptop</v>
      </c>
    </row>
    <row r="273" spans="1:12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t="str">
        <f t="shared" si="4"/>
        <v>Komal-Headset</v>
      </c>
    </row>
    <row r="274" spans="1:12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t="str">
        <f t="shared" si="4"/>
        <v>Kiran-Keyboard</v>
      </c>
    </row>
    <row r="275" spans="1:12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t="str">
        <f t="shared" si="4"/>
        <v>Vikram-Headset</v>
      </c>
    </row>
    <row r="276" spans="1:12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t="str">
        <f t="shared" si="4"/>
        <v>Pooja-Marker</v>
      </c>
    </row>
    <row r="277" spans="1:12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t="str">
        <f t="shared" si="4"/>
        <v>Deepak-Desk</v>
      </c>
    </row>
    <row r="278" spans="1:12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t="str">
        <f t="shared" si="4"/>
        <v>Anita-Stapler</v>
      </c>
    </row>
    <row r="279" spans="1:12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t="str">
        <f t="shared" si="4"/>
        <v>Yash-Mouse</v>
      </c>
    </row>
    <row r="280" spans="1:12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t="str">
        <f t="shared" si="4"/>
        <v>Sneha-Monitor</v>
      </c>
    </row>
    <row r="281" spans="1:12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t="str">
        <f t="shared" si="4"/>
        <v>Anita-Diary</v>
      </c>
    </row>
    <row r="282" spans="1:12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t="str">
        <f t="shared" si="4"/>
        <v>Sneha-Marker</v>
      </c>
    </row>
    <row r="283" spans="1:12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t="str">
        <f t="shared" si="4"/>
        <v>Sara-Bookshelf</v>
      </c>
    </row>
    <row r="284" spans="1:12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t="str">
        <f t="shared" si="4"/>
        <v>Deepak-Table</v>
      </c>
    </row>
    <row r="285" spans="1:12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t="str">
        <f t="shared" si="4"/>
        <v>Deepak-Pen Pack</v>
      </c>
    </row>
    <row r="286" spans="1:12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t="str">
        <f t="shared" si="4"/>
        <v>Asha-Stapler</v>
      </c>
    </row>
    <row r="287" spans="1:12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t="str">
        <f t="shared" si="4"/>
        <v>Kiran-Cabinet</v>
      </c>
    </row>
    <row r="288" spans="1:12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t="str">
        <f t="shared" si="4"/>
        <v>Anita-Notebook</v>
      </c>
    </row>
    <row r="289" spans="1:12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t="str">
        <f t="shared" si="4"/>
        <v>Manoj-Laptop</v>
      </c>
    </row>
    <row r="290" spans="1:12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t="str">
        <f t="shared" si="4"/>
        <v>Vikram-Monitor</v>
      </c>
    </row>
    <row r="291" spans="1:12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t="str">
        <f t="shared" si="4"/>
        <v>Vikram-Printer</v>
      </c>
    </row>
    <row r="292" spans="1:12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t="str">
        <f t="shared" si="4"/>
        <v>Meera-Stapler</v>
      </c>
    </row>
    <row r="293" spans="1:12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t="str">
        <f t="shared" si="4"/>
        <v>Manoj-Mouse</v>
      </c>
    </row>
    <row r="294" spans="1:12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t="str">
        <f t="shared" si="4"/>
        <v>Ajay-Table</v>
      </c>
    </row>
    <row r="295" spans="1:12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t="str">
        <f t="shared" si="4"/>
        <v>Meera-Desk</v>
      </c>
    </row>
    <row r="296" spans="1:12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t="str">
        <f t="shared" si="4"/>
        <v>Komal-Chair</v>
      </c>
    </row>
    <row r="297" spans="1:12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t="str">
        <f t="shared" si="4"/>
        <v>Vikram-Marker</v>
      </c>
    </row>
    <row r="298" spans="1:12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t="str">
        <f t="shared" si="4"/>
        <v>Manoj-Printer</v>
      </c>
    </row>
    <row r="299" spans="1:12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t="str">
        <f t="shared" si="4"/>
        <v>Meera-Mouse</v>
      </c>
    </row>
    <row r="300" spans="1:12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t="str">
        <f t="shared" si="4"/>
        <v>Vikram-Cabinet</v>
      </c>
    </row>
    <row r="301" spans="1:12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t="str">
        <f t="shared" si="4"/>
        <v>Yash-Monitor</v>
      </c>
    </row>
    <row r="302" spans="1:12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t="str">
        <f t="shared" si="4"/>
        <v>Manoj-Chair</v>
      </c>
    </row>
    <row r="303" spans="1:12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t="str">
        <f t="shared" si="4"/>
        <v>Sara-Printer</v>
      </c>
    </row>
    <row r="304" spans="1:12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t="str">
        <f t="shared" si="4"/>
        <v>Sara-Printer</v>
      </c>
    </row>
    <row r="305" spans="1:12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t="str">
        <f t="shared" si="4"/>
        <v>Anita-Stapler</v>
      </c>
    </row>
    <row r="306" spans="1:12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t="str">
        <f t="shared" si="4"/>
        <v>Rohan-Laptop</v>
      </c>
    </row>
    <row r="307" spans="1:12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t="str">
        <f t="shared" si="4"/>
        <v>Manoj-Stapler</v>
      </c>
    </row>
    <row r="308" spans="1:12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t="str">
        <f t="shared" si="4"/>
        <v>Sara-Printer</v>
      </c>
    </row>
    <row r="309" spans="1:12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t="str">
        <f t="shared" si="4"/>
        <v>Neha-Headset</v>
      </c>
    </row>
    <row r="310" spans="1:12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t="str">
        <f t="shared" si="4"/>
        <v>Priya-Marker</v>
      </c>
    </row>
    <row r="311" spans="1:12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t="str">
        <f t="shared" si="4"/>
        <v>Ajay-Cabinet</v>
      </c>
    </row>
    <row r="312" spans="1:12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t="str">
        <f t="shared" si="4"/>
        <v>Sneha-Notebook</v>
      </c>
    </row>
    <row r="313" spans="1:12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t="str">
        <f t="shared" si="4"/>
        <v>Sara-Cabinet</v>
      </c>
    </row>
    <row r="314" spans="1:12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t="str">
        <f t="shared" si="4"/>
        <v>Anita-Cabinet</v>
      </c>
    </row>
    <row r="315" spans="1:12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t="str">
        <f t="shared" si="4"/>
        <v>Komal-Desk</v>
      </c>
    </row>
    <row r="316" spans="1:12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t="str">
        <f t="shared" si="4"/>
        <v>Ajay-Headset</v>
      </c>
    </row>
    <row r="317" spans="1:12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t="str">
        <f t="shared" si="4"/>
        <v>Kiran-Chair</v>
      </c>
    </row>
    <row r="318" spans="1:12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t="str">
        <f t="shared" si="4"/>
        <v>Anita-Headset</v>
      </c>
    </row>
    <row r="319" spans="1:12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t="str">
        <f t="shared" si="4"/>
        <v>Ritesh-Marker</v>
      </c>
    </row>
    <row r="320" spans="1:12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t="str">
        <f t="shared" si="4"/>
        <v>Meera-Mouse</v>
      </c>
    </row>
    <row r="321" spans="1:12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t="str">
        <f t="shared" si="4"/>
        <v>Yash-Stapler</v>
      </c>
    </row>
    <row r="322" spans="1:12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t="str">
        <f t="shared" si="4"/>
        <v>Asha-Desk</v>
      </c>
    </row>
    <row r="323" spans="1:12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t="str">
        <f t="shared" ref="L323:L386" si="5">_xlfn.CONCAT(B323, "-",E323)</f>
        <v>Arjun-Table</v>
      </c>
    </row>
    <row r="324" spans="1:12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t="str">
        <f t="shared" si="5"/>
        <v>Sara-Mouse</v>
      </c>
    </row>
    <row r="325" spans="1:12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t="str">
        <f t="shared" si="5"/>
        <v>Asha-Desk</v>
      </c>
    </row>
    <row r="326" spans="1:12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t="str">
        <f t="shared" si="5"/>
        <v>Nitin-Keyboard</v>
      </c>
    </row>
    <row r="327" spans="1:12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t="str">
        <f t="shared" si="5"/>
        <v>Vikram-Bookshelf</v>
      </c>
    </row>
    <row r="328" spans="1:12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t="str">
        <f t="shared" si="5"/>
        <v>Nitin-Diary</v>
      </c>
    </row>
    <row r="329" spans="1:12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t="str">
        <f t="shared" si="5"/>
        <v>Pooja-Stapler</v>
      </c>
    </row>
    <row r="330" spans="1:12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t="str">
        <f t="shared" si="5"/>
        <v>Neha-Diary</v>
      </c>
    </row>
    <row r="331" spans="1:12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t="str">
        <f t="shared" si="5"/>
        <v>Ajay-Desk</v>
      </c>
    </row>
    <row r="332" spans="1:12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t="str">
        <f t="shared" si="5"/>
        <v>Meera-Mouse</v>
      </c>
    </row>
    <row r="333" spans="1:12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t="str">
        <f t="shared" si="5"/>
        <v>Priya-Marker</v>
      </c>
    </row>
    <row r="334" spans="1:12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t="str">
        <f t="shared" si="5"/>
        <v>Priya-Diary</v>
      </c>
    </row>
    <row r="335" spans="1:12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t="str">
        <f t="shared" si="5"/>
        <v>Deepak-Headset</v>
      </c>
    </row>
    <row r="336" spans="1:12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t="str">
        <f t="shared" si="5"/>
        <v>Yash-Desk</v>
      </c>
    </row>
    <row r="337" spans="1:12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t="str">
        <f t="shared" si="5"/>
        <v>Pooja-Cabinet</v>
      </c>
    </row>
    <row r="338" spans="1:12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t="str">
        <f t="shared" si="5"/>
        <v>Pooja-Diary</v>
      </c>
    </row>
    <row r="339" spans="1:12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t="str">
        <f t="shared" si="5"/>
        <v>Anita-Laptop</v>
      </c>
    </row>
    <row r="340" spans="1:12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t="str">
        <f t="shared" si="5"/>
        <v>Asha-Notebook</v>
      </c>
    </row>
    <row r="341" spans="1:12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t="str">
        <f t="shared" si="5"/>
        <v>Nitin-Desk</v>
      </c>
    </row>
    <row r="342" spans="1:12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t="str">
        <f t="shared" si="5"/>
        <v>Sara-Desk</v>
      </c>
    </row>
    <row r="343" spans="1:12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t="str">
        <f t="shared" si="5"/>
        <v>Anita-Printer</v>
      </c>
    </row>
    <row r="344" spans="1:12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t="str">
        <f t="shared" si="5"/>
        <v>Anita-Keyboard</v>
      </c>
    </row>
    <row r="345" spans="1:12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t="str">
        <f t="shared" si="5"/>
        <v>Neha-Diary</v>
      </c>
    </row>
    <row r="346" spans="1:12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t="str">
        <f t="shared" si="5"/>
        <v>Asha-Monitor</v>
      </c>
    </row>
    <row r="347" spans="1:12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t="str">
        <f t="shared" si="5"/>
        <v>Asha-Desk</v>
      </c>
    </row>
    <row r="348" spans="1:12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t="str">
        <f t="shared" si="5"/>
        <v>Priya-Printer</v>
      </c>
    </row>
    <row r="349" spans="1:12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t="str">
        <f t="shared" si="5"/>
        <v>Ritesh-Marker</v>
      </c>
    </row>
    <row r="350" spans="1:12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t="str">
        <f t="shared" si="5"/>
        <v>Deepak-Printer</v>
      </c>
    </row>
    <row r="351" spans="1:12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t="str">
        <f t="shared" si="5"/>
        <v>Vikram-Chair</v>
      </c>
    </row>
    <row r="352" spans="1:12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t="str">
        <f t="shared" si="5"/>
        <v>Nisha-Monitor</v>
      </c>
    </row>
    <row r="353" spans="1:12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t="str">
        <f t="shared" si="5"/>
        <v>Manoj-Notebook</v>
      </c>
    </row>
    <row r="354" spans="1:12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t="str">
        <f t="shared" si="5"/>
        <v>Yash-Notebook</v>
      </c>
    </row>
    <row r="355" spans="1:12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t="str">
        <f t="shared" si="5"/>
        <v>Yash-Printer</v>
      </c>
    </row>
    <row r="356" spans="1:12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t="str">
        <f t="shared" si="5"/>
        <v>Arjun-Laptop</v>
      </c>
    </row>
    <row r="357" spans="1:12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t="str">
        <f t="shared" si="5"/>
        <v>Vikram-Laptop</v>
      </c>
    </row>
    <row r="358" spans="1:12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t="str">
        <f t="shared" si="5"/>
        <v>Anita-Pen Pack</v>
      </c>
    </row>
    <row r="359" spans="1:12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t="str">
        <f t="shared" si="5"/>
        <v>Deepak-Desk</v>
      </c>
    </row>
    <row r="360" spans="1:12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t="str">
        <f t="shared" si="5"/>
        <v>Manoj-Mouse</v>
      </c>
    </row>
    <row r="361" spans="1:12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t="str">
        <f t="shared" si="5"/>
        <v>Ritesh-Table</v>
      </c>
    </row>
    <row r="362" spans="1:12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t="str">
        <f t="shared" si="5"/>
        <v>Nisha-Table</v>
      </c>
    </row>
    <row r="363" spans="1:12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t="str">
        <f t="shared" si="5"/>
        <v>Pooja-Chair</v>
      </c>
    </row>
    <row r="364" spans="1:12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t="str">
        <f t="shared" si="5"/>
        <v>Arjun-Printer</v>
      </c>
    </row>
    <row r="365" spans="1:12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t="str">
        <f t="shared" si="5"/>
        <v>Neha-Cabinet</v>
      </c>
    </row>
    <row r="366" spans="1:12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t="str">
        <f t="shared" si="5"/>
        <v>Kiran-Marker</v>
      </c>
    </row>
    <row r="367" spans="1:12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t="str">
        <f t="shared" si="5"/>
        <v>Vikram-Mouse</v>
      </c>
    </row>
    <row r="368" spans="1:12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t="str">
        <f t="shared" si="5"/>
        <v>Manoj-Diary</v>
      </c>
    </row>
    <row r="369" spans="1:12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t="str">
        <f t="shared" si="5"/>
        <v>Sneha-Stapler</v>
      </c>
    </row>
    <row r="370" spans="1:12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t="str">
        <f t="shared" si="5"/>
        <v>Sara-Desk</v>
      </c>
    </row>
    <row r="371" spans="1:12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t="str">
        <f t="shared" si="5"/>
        <v>Anita-Diary</v>
      </c>
    </row>
    <row r="372" spans="1:12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t="str">
        <f t="shared" si="5"/>
        <v>Nitin-Desk</v>
      </c>
    </row>
    <row r="373" spans="1:12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t="str">
        <f t="shared" si="5"/>
        <v>Nitin-Keyboard</v>
      </c>
    </row>
    <row r="374" spans="1:12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t="str">
        <f t="shared" si="5"/>
        <v>Manoj-Laptop</v>
      </c>
    </row>
    <row r="375" spans="1:12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t="str">
        <f t="shared" si="5"/>
        <v>Sara-Printer</v>
      </c>
    </row>
    <row r="376" spans="1:12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t="str">
        <f t="shared" si="5"/>
        <v>Kiran-Monitor</v>
      </c>
    </row>
    <row r="377" spans="1:12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t="str">
        <f t="shared" si="5"/>
        <v>Komal-Marker</v>
      </c>
    </row>
    <row r="378" spans="1:12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t="str">
        <f t="shared" si="5"/>
        <v>Asha-Desk</v>
      </c>
    </row>
    <row r="379" spans="1:12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t="str">
        <f t="shared" si="5"/>
        <v>Sneha-Monitor</v>
      </c>
    </row>
    <row r="380" spans="1:12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t="str">
        <f t="shared" si="5"/>
        <v>Yash-Notebook</v>
      </c>
    </row>
    <row r="381" spans="1:12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t="str">
        <f t="shared" si="5"/>
        <v>Komal-Diary</v>
      </c>
    </row>
    <row r="382" spans="1:12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t="str">
        <f t="shared" si="5"/>
        <v>Sneha-Chair</v>
      </c>
    </row>
    <row r="383" spans="1:12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t="str">
        <f t="shared" si="5"/>
        <v>Ajay-Laptop</v>
      </c>
    </row>
    <row r="384" spans="1:12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t="str">
        <f t="shared" si="5"/>
        <v>Asha-Diary</v>
      </c>
    </row>
    <row r="385" spans="1:12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t="str">
        <f t="shared" si="5"/>
        <v>Anita-Keyboard</v>
      </c>
    </row>
    <row r="386" spans="1:12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t="str">
        <f t="shared" si="5"/>
        <v>Vikram-Keyboard</v>
      </c>
    </row>
    <row r="387" spans="1:12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t="str">
        <f t="shared" ref="L387:L401" si="6">_xlfn.CONCAT(B387, "-",E387)</f>
        <v>Arjun-Chair</v>
      </c>
    </row>
    <row r="388" spans="1:12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t="str">
        <f t="shared" si="6"/>
        <v>Manoj-Printer</v>
      </c>
    </row>
    <row r="389" spans="1:12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t="str">
        <f t="shared" si="6"/>
        <v>Sneha-Chair</v>
      </c>
    </row>
    <row r="390" spans="1:12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t="str">
        <f t="shared" si="6"/>
        <v>Asha-Headset</v>
      </c>
    </row>
    <row r="391" spans="1:12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t="str">
        <f t="shared" si="6"/>
        <v>Rohan-Desk</v>
      </c>
    </row>
    <row r="392" spans="1:12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t="str">
        <f t="shared" si="6"/>
        <v>Neha-Printer</v>
      </c>
    </row>
    <row r="393" spans="1:12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t="str">
        <f t="shared" si="6"/>
        <v>Priya-Printer</v>
      </c>
    </row>
    <row r="394" spans="1:12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t="str">
        <f t="shared" si="6"/>
        <v>Neha-Monitor</v>
      </c>
    </row>
    <row r="395" spans="1:12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t="str">
        <f t="shared" si="6"/>
        <v>Manoj-Notebook</v>
      </c>
    </row>
    <row r="396" spans="1:12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t="str">
        <f t="shared" si="6"/>
        <v>Manoj-Bookshelf</v>
      </c>
    </row>
    <row r="397" spans="1:12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t="str">
        <f t="shared" si="6"/>
        <v>Meera-Diary</v>
      </c>
    </row>
    <row r="398" spans="1:12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t="str">
        <f t="shared" si="6"/>
        <v>Meera-Table</v>
      </c>
    </row>
    <row r="399" spans="1:12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t="str">
        <f t="shared" si="6"/>
        <v>Rohan-Keyboard</v>
      </c>
    </row>
    <row r="400" spans="1:12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t="str">
        <f t="shared" si="6"/>
        <v>Nitin-Notebook</v>
      </c>
    </row>
    <row r="401" spans="1:12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t="str">
        <f t="shared" si="6"/>
        <v>Deepak-Printer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10A2-56B5-4A48-9ED5-B2471F38D46C}">
  <dimension ref="A1:N401"/>
  <sheetViews>
    <sheetView workbookViewId="0">
      <selection activeCell="P399" sqref="P399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4.5546875" customWidth="1"/>
    <col min="13" max="13" width="14.21875" customWidth="1"/>
    <col min="14" max="14" width="18.44140625" customWidth="1"/>
  </cols>
  <sheetData>
    <row r="1" spans="1:1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73</v>
      </c>
      <c r="M1" s="8" t="s">
        <v>74</v>
      </c>
      <c r="N1" s="8" t="s">
        <v>75</v>
      </c>
    </row>
    <row r="2" spans="1:14" x14ac:dyDescent="0.3">
      <c r="A2" s="8">
        <v>1001</v>
      </c>
      <c r="B2" s="8" t="s">
        <v>11</v>
      </c>
      <c r="C2" s="8" t="s">
        <v>12</v>
      </c>
      <c r="D2" s="8" t="s">
        <v>13</v>
      </c>
      <c r="E2" s="8" t="s">
        <v>14</v>
      </c>
      <c r="F2" s="8">
        <v>3</v>
      </c>
      <c r="G2" s="8">
        <v>222</v>
      </c>
      <c r="H2" s="8">
        <v>15</v>
      </c>
      <c r="I2" s="9">
        <v>46081</v>
      </c>
      <c r="J2" s="9">
        <v>46083</v>
      </c>
      <c r="K2" s="8" t="s">
        <v>15</v>
      </c>
      <c r="L2" t="str">
        <f>LEFT(B2, 3)&amp;A2</f>
        <v>Rit1001</v>
      </c>
      <c r="M2" t="str">
        <f>LEFT(E2, 3)&amp; RIGHT(E2, 2)</f>
        <v>Notok</v>
      </c>
      <c r="N2" t="str">
        <f>MID(E2, 2, 4)</f>
        <v>oteb</v>
      </c>
    </row>
    <row r="3" spans="1:14" x14ac:dyDescent="0.3">
      <c r="A3" s="8">
        <v>1002</v>
      </c>
      <c r="B3" s="8" t="s">
        <v>16</v>
      </c>
      <c r="C3" s="8" t="s">
        <v>17</v>
      </c>
      <c r="D3" s="8" t="s">
        <v>18</v>
      </c>
      <c r="E3" s="8" t="s">
        <v>19</v>
      </c>
      <c r="F3" s="8">
        <v>7</v>
      </c>
      <c r="G3" s="8">
        <v>8448</v>
      </c>
      <c r="H3" s="8">
        <v>12</v>
      </c>
      <c r="I3" s="9">
        <v>46174</v>
      </c>
      <c r="J3" s="9">
        <v>46179</v>
      </c>
      <c r="K3" s="8" t="s">
        <v>20</v>
      </c>
      <c r="L3" t="str">
        <f t="shared" ref="L3:L66" si="0">LEFT(B3, 3)&amp;A3</f>
        <v>Poo1002</v>
      </c>
      <c r="M3" t="str">
        <f t="shared" ref="M3:M66" si="1">LEFT(E3, 3)&amp; RIGHT(E3, 2)</f>
        <v>Dessk</v>
      </c>
      <c r="N3" t="str">
        <f t="shared" ref="N3:N66" si="2">MID(E3, 2, 4)</f>
        <v>esk</v>
      </c>
    </row>
    <row r="4" spans="1:14" x14ac:dyDescent="0.3">
      <c r="A4" s="8">
        <v>1003</v>
      </c>
      <c r="B4" s="8" t="s">
        <v>21</v>
      </c>
      <c r="C4" s="8" t="s">
        <v>22</v>
      </c>
      <c r="D4" s="8" t="s">
        <v>18</v>
      </c>
      <c r="E4" s="8" t="s">
        <v>23</v>
      </c>
      <c r="F4" s="8">
        <v>20</v>
      </c>
      <c r="G4" s="8">
        <v>2123</v>
      </c>
      <c r="H4" s="8">
        <v>15</v>
      </c>
      <c r="I4" s="9">
        <v>46183</v>
      </c>
      <c r="J4" s="9">
        <v>46192</v>
      </c>
      <c r="K4" s="8" t="s">
        <v>24</v>
      </c>
      <c r="L4" t="str">
        <f t="shared" si="0"/>
        <v>Mee1003</v>
      </c>
      <c r="M4" t="str">
        <f t="shared" si="1"/>
        <v>Table</v>
      </c>
      <c r="N4" t="str">
        <f t="shared" si="2"/>
        <v>able</v>
      </c>
    </row>
    <row r="5" spans="1:14" x14ac:dyDescent="0.3">
      <c r="A5" s="8">
        <v>1004</v>
      </c>
      <c r="B5" s="8" t="s">
        <v>16</v>
      </c>
      <c r="C5" s="8" t="s">
        <v>25</v>
      </c>
      <c r="D5" s="8" t="s">
        <v>18</v>
      </c>
      <c r="E5" s="8" t="s">
        <v>23</v>
      </c>
      <c r="F5" s="8">
        <v>16</v>
      </c>
      <c r="G5" s="8">
        <v>11739</v>
      </c>
      <c r="H5" s="8">
        <v>12</v>
      </c>
      <c r="I5" s="9">
        <v>46034</v>
      </c>
      <c r="J5" s="9">
        <v>46040</v>
      </c>
      <c r="K5" s="8" t="s">
        <v>20</v>
      </c>
      <c r="L5" t="str">
        <f t="shared" si="0"/>
        <v>Poo1004</v>
      </c>
      <c r="M5" t="str">
        <f t="shared" si="1"/>
        <v>Table</v>
      </c>
      <c r="N5" t="str">
        <f t="shared" si="2"/>
        <v>able</v>
      </c>
    </row>
    <row r="6" spans="1:14" x14ac:dyDescent="0.3">
      <c r="A6" s="8">
        <v>1005</v>
      </c>
      <c r="B6" s="8" t="s">
        <v>26</v>
      </c>
      <c r="C6" s="8" t="s">
        <v>17</v>
      </c>
      <c r="D6" s="8" t="s">
        <v>13</v>
      </c>
      <c r="E6" s="8" t="s">
        <v>14</v>
      </c>
      <c r="F6" s="8">
        <v>18</v>
      </c>
      <c r="G6" s="8">
        <v>70</v>
      </c>
      <c r="H6" s="8">
        <v>0</v>
      </c>
      <c r="I6" s="9">
        <v>46171</v>
      </c>
      <c r="J6" s="9">
        <v>46179</v>
      </c>
      <c r="K6" s="8" t="s">
        <v>24</v>
      </c>
      <c r="L6" t="str">
        <f t="shared" si="0"/>
        <v>Vik1005</v>
      </c>
      <c r="M6" t="str">
        <f t="shared" si="1"/>
        <v>Notok</v>
      </c>
      <c r="N6" t="str">
        <f t="shared" si="2"/>
        <v>oteb</v>
      </c>
    </row>
    <row r="7" spans="1:14" x14ac:dyDescent="0.3">
      <c r="A7" s="8">
        <v>1006</v>
      </c>
      <c r="B7" s="8" t="s">
        <v>27</v>
      </c>
      <c r="C7" s="8" t="s">
        <v>25</v>
      </c>
      <c r="D7" s="8" t="s">
        <v>18</v>
      </c>
      <c r="E7" s="8" t="s">
        <v>28</v>
      </c>
      <c r="F7" s="8">
        <v>3</v>
      </c>
      <c r="G7" s="8">
        <v>2714</v>
      </c>
      <c r="H7" s="8">
        <v>5</v>
      </c>
      <c r="I7" s="9">
        <v>46055</v>
      </c>
      <c r="J7" s="9">
        <v>46062</v>
      </c>
      <c r="K7" s="8" t="s">
        <v>29</v>
      </c>
      <c r="L7" t="str">
        <f t="shared" si="0"/>
        <v>Arj1006</v>
      </c>
      <c r="M7" t="str">
        <f t="shared" si="1"/>
        <v>Chair</v>
      </c>
      <c r="N7" t="str">
        <f t="shared" si="2"/>
        <v>hair</v>
      </c>
    </row>
    <row r="8" spans="1:14" x14ac:dyDescent="0.3">
      <c r="A8" s="8">
        <v>1007</v>
      </c>
      <c r="B8" s="8" t="s">
        <v>21</v>
      </c>
      <c r="C8" s="8" t="s">
        <v>22</v>
      </c>
      <c r="D8" s="8" t="s">
        <v>13</v>
      </c>
      <c r="E8" s="8" t="s">
        <v>14</v>
      </c>
      <c r="F8" s="8">
        <v>19</v>
      </c>
      <c r="G8" s="8">
        <v>149</v>
      </c>
      <c r="H8" s="8">
        <v>7</v>
      </c>
      <c r="I8" s="9">
        <v>46162</v>
      </c>
      <c r="J8" s="9">
        <v>46168</v>
      </c>
      <c r="K8" s="8" t="s">
        <v>24</v>
      </c>
      <c r="L8" t="str">
        <f t="shared" si="0"/>
        <v>Mee1007</v>
      </c>
      <c r="M8" t="str">
        <f t="shared" si="1"/>
        <v>Notok</v>
      </c>
      <c r="N8" t="str">
        <f t="shared" si="2"/>
        <v>oteb</v>
      </c>
    </row>
    <row r="9" spans="1:14" x14ac:dyDescent="0.3">
      <c r="A9" s="8">
        <v>1008</v>
      </c>
      <c r="B9" s="8" t="s">
        <v>30</v>
      </c>
      <c r="C9" s="8" t="s">
        <v>31</v>
      </c>
      <c r="D9" s="8" t="s">
        <v>18</v>
      </c>
      <c r="E9" s="8" t="s">
        <v>28</v>
      </c>
      <c r="F9" s="8">
        <v>1</v>
      </c>
      <c r="G9" s="8">
        <v>1134</v>
      </c>
      <c r="H9" s="8">
        <v>0</v>
      </c>
      <c r="I9" s="9">
        <v>46033</v>
      </c>
      <c r="J9" s="9">
        <v>46041</v>
      </c>
      <c r="K9" s="8" t="s">
        <v>24</v>
      </c>
      <c r="L9" t="str">
        <f t="shared" si="0"/>
        <v>Neh1008</v>
      </c>
      <c r="M9" t="str">
        <f t="shared" si="1"/>
        <v>Chair</v>
      </c>
      <c r="N9" t="str">
        <f t="shared" si="2"/>
        <v>hair</v>
      </c>
    </row>
    <row r="10" spans="1:14" x14ac:dyDescent="0.3">
      <c r="A10" s="8">
        <v>1009</v>
      </c>
      <c r="B10" s="8" t="s">
        <v>32</v>
      </c>
      <c r="C10" s="8" t="s">
        <v>33</v>
      </c>
      <c r="D10" s="8" t="s">
        <v>34</v>
      </c>
      <c r="E10" s="8" t="s">
        <v>35</v>
      </c>
      <c r="F10" s="8">
        <v>10</v>
      </c>
      <c r="G10" s="8">
        <v>40671</v>
      </c>
      <c r="H10" s="8">
        <v>12</v>
      </c>
      <c r="I10" s="9">
        <v>46183</v>
      </c>
      <c r="J10" s="9">
        <v>46193</v>
      </c>
      <c r="K10" s="8" t="s">
        <v>24</v>
      </c>
      <c r="L10" t="str">
        <f t="shared" si="0"/>
        <v>Ash1009</v>
      </c>
      <c r="M10" t="str">
        <f t="shared" si="1"/>
        <v>Prier</v>
      </c>
      <c r="N10" t="str">
        <f t="shared" si="2"/>
        <v>rint</v>
      </c>
    </row>
    <row r="11" spans="1:14" x14ac:dyDescent="0.3">
      <c r="A11" s="8">
        <v>1010</v>
      </c>
      <c r="B11" s="8" t="s">
        <v>11</v>
      </c>
      <c r="C11" s="8" t="s">
        <v>17</v>
      </c>
      <c r="D11" s="8" t="s">
        <v>13</v>
      </c>
      <c r="E11" s="8" t="s">
        <v>36</v>
      </c>
      <c r="F11" s="8">
        <v>14</v>
      </c>
      <c r="G11" s="8">
        <v>470</v>
      </c>
      <c r="H11" s="8">
        <v>5</v>
      </c>
      <c r="I11" s="9">
        <v>46062</v>
      </c>
      <c r="J11" s="9">
        <v>46068</v>
      </c>
      <c r="K11" s="8" t="s">
        <v>15</v>
      </c>
      <c r="L11" t="str">
        <f t="shared" si="0"/>
        <v>Rit1010</v>
      </c>
      <c r="M11" t="str">
        <f t="shared" si="1"/>
        <v>Staer</v>
      </c>
      <c r="N11" t="str">
        <f t="shared" si="2"/>
        <v>tapl</v>
      </c>
    </row>
    <row r="12" spans="1:14" x14ac:dyDescent="0.3">
      <c r="A12" s="8">
        <v>1011</v>
      </c>
      <c r="B12" s="8" t="s">
        <v>11</v>
      </c>
      <c r="C12" s="8" t="s">
        <v>17</v>
      </c>
      <c r="D12" s="8" t="s">
        <v>13</v>
      </c>
      <c r="E12" s="8" t="s">
        <v>37</v>
      </c>
      <c r="F12" s="8">
        <v>14</v>
      </c>
      <c r="G12" s="8">
        <v>88</v>
      </c>
      <c r="H12" s="8">
        <v>12</v>
      </c>
      <c r="I12" s="9">
        <v>46161</v>
      </c>
      <c r="J12" s="9">
        <v>46163</v>
      </c>
      <c r="K12" s="8" t="s">
        <v>15</v>
      </c>
      <c r="L12" t="str">
        <f t="shared" si="0"/>
        <v>Rit1011</v>
      </c>
      <c r="M12" t="str">
        <f t="shared" si="1"/>
        <v>Penck</v>
      </c>
      <c r="N12" t="str">
        <f t="shared" si="2"/>
        <v>en P</v>
      </c>
    </row>
    <row r="13" spans="1:14" x14ac:dyDescent="0.3">
      <c r="A13" s="8">
        <v>1012</v>
      </c>
      <c r="B13" s="8" t="s">
        <v>26</v>
      </c>
      <c r="C13" s="8" t="s">
        <v>38</v>
      </c>
      <c r="D13" s="8" t="s">
        <v>34</v>
      </c>
      <c r="E13" s="8" t="s">
        <v>39</v>
      </c>
      <c r="F13" s="8">
        <v>3</v>
      </c>
      <c r="G13" s="8">
        <v>64615</v>
      </c>
      <c r="H13" s="8">
        <v>10</v>
      </c>
      <c r="I13" s="9">
        <v>46086</v>
      </c>
      <c r="J13" s="9">
        <v>46095</v>
      </c>
      <c r="K13" s="8" t="s">
        <v>29</v>
      </c>
      <c r="L13" t="str">
        <f t="shared" si="0"/>
        <v>Vik1012</v>
      </c>
      <c r="M13" t="str">
        <f t="shared" si="1"/>
        <v>Keyrd</v>
      </c>
      <c r="N13" t="str">
        <f t="shared" si="2"/>
        <v>eybo</v>
      </c>
    </row>
    <row r="14" spans="1:14" x14ac:dyDescent="0.3">
      <c r="A14" s="8">
        <v>1013</v>
      </c>
      <c r="B14" s="8" t="s">
        <v>16</v>
      </c>
      <c r="C14" s="8" t="s">
        <v>31</v>
      </c>
      <c r="D14" s="8" t="s">
        <v>13</v>
      </c>
      <c r="E14" s="8" t="s">
        <v>36</v>
      </c>
      <c r="F14" s="8">
        <v>17</v>
      </c>
      <c r="G14" s="8">
        <v>459</v>
      </c>
      <c r="H14" s="8">
        <v>12</v>
      </c>
      <c r="I14" s="9">
        <v>46095</v>
      </c>
      <c r="J14" s="9">
        <v>46105</v>
      </c>
      <c r="K14" s="8" t="s">
        <v>29</v>
      </c>
      <c r="L14" t="str">
        <f t="shared" si="0"/>
        <v>Poo1013</v>
      </c>
      <c r="M14" t="str">
        <f t="shared" si="1"/>
        <v>Staer</v>
      </c>
      <c r="N14" t="str">
        <f t="shared" si="2"/>
        <v>tapl</v>
      </c>
    </row>
    <row r="15" spans="1:14" x14ac:dyDescent="0.3">
      <c r="A15" s="8">
        <v>1014</v>
      </c>
      <c r="B15" s="8" t="s">
        <v>40</v>
      </c>
      <c r="C15" s="8" t="s">
        <v>17</v>
      </c>
      <c r="D15" s="8" t="s">
        <v>34</v>
      </c>
      <c r="E15" s="8" t="s">
        <v>41</v>
      </c>
      <c r="F15" s="8">
        <v>19</v>
      </c>
      <c r="G15" s="8">
        <v>53683</v>
      </c>
      <c r="H15" s="8">
        <v>12</v>
      </c>
      <c r="I15" s="9">
        <v>46129</v>
      </c>
      <c r="J15" s="9">
        <v>46134</v>
      </c>
      <c r="K15" s="8" t="s">
        <v>29</v>
      </c>
      <c r="L15" t="str">
        <f t="shared" si="0"/>
        <v>Dee1014</v>
      </c>
      <c r="M15" t="str">
        <f t="shared" si="1"/>
        <v>Heaet</v>
      </c>
      <c r="N15" t="str">
        <f t="shared" si="2"/>
        <v>eads</v>
      </c>
    </row>
    <row r="16" spans="1:14" x14ac:dyDescent="0.3">
      <c r="A16" s="8">
        <v>1015</v>
      </c>
      <c r="B16" s="8" t="s">
        <v>42</v>
      </c>
      <c r="C16" s="8" t="s">
        <v>43</v>
      </c>
      <c r="D16" s="8" t="s">
        <v>18</v>
      </c>
      <c r="E16" s="8" t="s">
        <v>44</v>
      </c>
      <c r="F16" s="8">
        <v>11</v>
      </c>
      <c r="G16" s="8">
        <v>14511</v>
      </c>
      <c r="H16" s="8">
        <v>2</v>
      </c>
      <c r="I16" s="9">
        <v>46175</v>
      </c>
      <c r="J16" s="9">
        <v>46185</v>
      </c>
      <c r="K16" s="8" t="s">
        <v>20</v>
      </c>
      <c r="L16" t="str">
        <f t="shared" si="0"/>
        <v>Nis1015</v>
      </c>
      <c r="M16" t="str">
        <f t="shared" si="1"/>
        <v>Boolf</v>
      </c>
      <c r="N16" t="str">
        <f t="shared" si="2"/>
        <v>ooks</v>
      </c>
    </row>
    <row r="17" spans="1:14" x14ac:dyDescent="0.3">
      <c r="A17" s="8">
        <v>1016</v>
      </c>
      <c r="B17" s="8" t="s">
        <v>32</v>
      </c>
      <c r="C17" s="8" t="s">
        <v>33</v>
      </c>
      <c r="D17" s="8" t="s">
        <v>34</v>
      </c>
      <c r="E17" s="8" t="s">
        <v>45</v>
      </c>
      <c r="F17" s="8">
        <v>16</v>
      </c>
      <c r="G17" s="8">
        <v>30234</v>
      </c>
      <c r="H17" s="8">
        <v>15</v>
      </c>
      <c r="I17" s="9">
        <v>46137</v>
      </c>
      <c r="J17" s="9">
        <v>46140</v>
      </c>
      <c r="K17" s="8" t="s">
        <v>24</v>
      </c>
      <c r="L17" t="str">
        <f t="shared" si="0"/>
        <v>Ash1016</v>
      </c>
      <c r="M17" t="str">
        <f t="shared" si="1"/>
        <v>Monor</v>
      </c>
      <c r="N17" t="str">
        <f t="shared" si="2"/>
        <v>onit</v>
      </c>
    </row>
    <row r="18" spans="1:14" x14ac:dyDescent="0.3">
      <c r="A18" s="8">
        <v>1017</v>
      </c>
      <c r="B18" s="8" t="s">
        <v>46</v>
      </c>
      <c r="C18" s="8" t="s">
        <v>38</v>
      </c>
      <c r="D18" s="8" t="s">
        <v>13</v>
      </c>
      <c r="E18" s="8" t="s">
        <v>36</v>
      </c>
      <c r="F18" s="8">
        <v>8</v>
      </c>
      <c r="G18" s="8">
        <v>179</v>
      </c>
      <c r="H18" s="8">
        <v>15</v>
      </c>
      <c r="I18" s="9">
        <v>46082</v>
      </c>
      <c r="J18" s="9">
        <v>46084</v>
      </c>
      <c r="K18" s="8" t="s">
        <v>15</v>
      </c>
      <c r="L18" t="str">
        <f t="shared" si="0"/>
        <v>Kir1017</v>
      </c>
      <c r="M18" t="str">
        <f t="shared" si="1"/>
        <v>Staer</v>
      </c>
      <c r="N18" t="str">
        <f t="shared" si="2"/>
        <v>tapl</v>
      </c>
    </row>
    <row r="19" spans="1:14" x14ac:dyDescent="0.3">
      <c r="A19" s="8">
        <v>1018</v>
      </c>
      <c r="B19" s="8" t="s">
        <v>47</v>
      </c>
      <c r="C19" s="8" t="s">
        <v>25</v>
      </c>
      <c r="D19" s="8" t="s">
        <v>13</v>
      </c>
      <c r="E19" s="8" t="s">
        <v>14</v>
      </c>
      <c r="F19" s="8">
        <v>20</v>
      </c>
      <c r="G19" s="8">
        <v>301</v>
      </c>
      <c r="H19" s="8">
        <v>0</v>
      </c>
      <c r="I19" s="9">
        <v>46089</v>
      </c>
      <c r="J19" s="9">
        <v>46094</v>
      </c>
      <c r="K19" s="8" t="s">
        <v>29</v>
      </c>
      <c r="L19" t="str">
        <f t="shared" si="0"/>
        <v>Yas1018</v>
      </c>
      <c r="M19" t="str">
        <f t="shared" si="1"/>
        <v>Notok</v>
      </c>
      <c r="N19" t="str">
        <f t="shared" si="2"/>
        <v>oteb</v>
      </c>
    </row>
    <row r="20" spans="1:14" x14ac:dyDescent="0.3">
      <c r="A20" s="8">
        <v>1019</v>
      </c>
      <c r="B20" s="8" t="s">
        <v>11</v>
      </c>
      <c r="C20" s="8" t="s">
        <v>43</v>
      </c>
      <c r="D20" s="8" t="s">
        <v>34</v>
      </c>
      <c r="E20" s="8" t="s">
        <v>41</v>
      </c>
      <c r="F20" s="8">
        <v>18</v>
      </c>
      <c r="G20" s="8">
        <v>45652</v>
      </c>
      <c r="H20" s="8">
        <v>10</v>
      </c>
      <c r="I20" s="9">
        <v>46023</v>
      </c>
      <c r="J20" s="9">
        <v>46030</v>
      </c>
      <c r="K20" s="8" t="s">
        <v>20</v>
      </c>
      <c r="L20" t="str">
        <f t="shared" si="0"/>
        <v>Rit1019</v>
      </c>
      <c r="M20" t="str">
        <f t="shared" si="1"/>
        <v>Heaet</v>
      </c>
      <c r="N20" t="str">
        <f t="shared" si="2"/>
        <v>eads</v>
      </c>
    </row>
    <row r="21" spans="1:14" x14ac:dyDescent="0.3">
      <c r="A21" s="8">
        <v>1020</v>
      </c>
      <c r="B21" s="8" t="s">
        <v>46</v>
      </c>
      <c r="C21" s="8" t="s">
        <v>12</v>
      </c>
      <c r="D21" s="8" t="s">
        <v>18</v>
      </c>
      <c r="E21" s="8" t="s">
        <v>19</v>
      </c>
      <c r="F21" s="8">
        <v>5</v>
      </c>
      <c r="G21" s="8">
        <v>4582</v>
      </c>
      <c r="H21" s="8">
        <v>5</v>
      </c>
      <c r="I21" s="9">
        <v>46078</v>
      </c>
      <c r="J21" s="9">
        <v>46083</v>
      </c>
      <c r="K21" s="8" t="s">
        <v>15</v>
      </c>
      <c r="L21" t="str">
        <f t="shared" si="0"/>
        <v>Kir1020</v>
      </c>
      <c r="M21" t="str">
        <f t="shared" si="1"/>
        <v>Dessk</v>
      </c>
      <c r="N21" t="str">
        <f t="shared" si="2"/>
        <v>esk</v>
      </c>
    </row>
    <row r="22" spans="1:14" x14ac:dyDescent="0.3">
      <c r="A22" s="8">
        <v>1021</v>
      </c>
      <c r="B22" s="8" t="s">
        <v>48</v>
      </c>
      <c r="C22" s="8" t="s">
        <v>43</v>
      </c>
      <c r="D22" s="8" t="s">
        <v>13</v>
      </c>
      <c r="E22" s="8" t="s">
        <v>14</v>
      </c>
      <c r="F22" s="8">
        <v>3</v>
      </c>
      <c r="G22" s="8">
        <v>484</v>
      </c>
      <c r="H22" s="8">
        <v>2</v>
      </c>
      <c r="I22" s="9">
        <v>46144</v>
      </c>
      <c r="J22" s="9">
        <v>46148</v>
      </c>
      <c r="K22" s="8" t="s">
        <v>24</v>
      </c>
      <c r="L22" t="str">
        <f t="shared" si="0"/>
        <v>Nit1021</v>
      </c>
      <c r="M22" t="str">
        <f t="shared" si="1"/>
        <v>Notok</v>
      </c>
      <c r="N22" t="str">
        <f t="shared" si="2"/>
        <v>oteb</v>
      </c>
    </row>
    <row r="23" spans="1:14" x14ac:dyDescent="0.3">
      <c r="A23" s="8">
        <v>1022</v>
      </c>
      <c r="B23" s="8" t="s">
        <v>26</v>
      </c>
      <c r="C23" s="8" t="s">
        <v>17</v>
      </c>
      <c r="D23" s="8" t="s">
        <v>34</v>
      </c>
      <c r="E23" s="8" t="s">
        <v>45</v>
      </c>
      <c r="F23" s="8">
        <v>15</v>
      </c>
      <c r="G23" s="8">
        <v>11596</v>
      </c>
      <c r="H23" s="8">
        <v>0</v>
      </c>
      <c r="I23" s="9">
        <v>46117</v>
      </c>
      <c r="J23" s="9">
        <v>46121</v>
      </c>
      <c r="K23" s="8" t="s">
        <v>29</v>
      </c>
      <c r="L23" t="str">
        <f t="shared" si="0"/>
        <v>Vik1022</v>
      </c>
      <c r="M23" t="str">
        <f t="shared" si="1"/>
        <v>Monor</v>
      </c>
      <c r="N23" t="str">
        <f t="shared" si="2"/>
        <v>onit</v>
      </c>
    </row>
    <row r="24" spans="1:14" x14ac:dyDescent="0.3">
      <c r="A24" s="8">
        <v>1023</v>
      </c>
      <c r="B24" s="8" t="s">
        <v>40</v>
      </c>
      <c r="C24" s="8" t="s">
        <v>12</v>
      </c>
      <c r="D24" s="8" t="s">
        <v>18</v>
      </c>
      <c r="E24" s="8" t="s">
        <v>44</v>
      </c>
      <c r="F24" s="8">
        <v>15</v>
      </c>
      <c r="G24" s="8">
        <v>3506</v>
      </c>
      <c r="H24" s="8">
        <v>2</v>
      </c>
      <c r="I24" s="9">
        <v>46193</v>
      </c>
      <c r="J24" s="9">
        <v>46194</v>
      </c>
      <c r="K24" s="8" t="s">
        <v>29</v>
      </c>
      <c r="L24" t="str">
        <f t="shared" si="0"/>
        <v>Dee1023</v>
      </c>
      <c r="M24" t="str">
        <f t="shared" si="1"/>
        <v>Boolf</v>
      </c>
      <c r="N24" t="str">
        <f t="shared" si="2"/>
        <v>ooks</v>
      </c>
    </row>
    <row r="25" spans="1:14" x14ac:dyDescent="0.3">
      <c r="A25" s="8">
        <v>1024</v>
      </c>
      <c r="B25" s="8" t="s">
        <v>32</v>
      </c>
      <c r="C25" s="8" t="s">
        <v>38</v>
      </c>
      <c r="D25" s="8" t="s">
        <v>34</v>
      </c>
      <c r="E25" s="8" t="s">
        <v>41</v>
      </c>
      <c r="F25" s="8">
        <v>12</v>
      </c>
      <c r="G25" s="8">
        <v>1682</v>
      </c>
      <c r="H25" s="8">
        <v>5</v>
      </c>
      <c r="I25" s="9">
        <v>46161</v>
      </c>
      <c r="J25" s="9">
        <v>46165</v>
      </c>
      <c r="K25" s="8" t="s">
        <v>15</v>
      </c>
      <c r="L25" t="str">
        <f t="shared" si="0"/>
        <v>Ash1024</v>
      </c>
      <c r="M25" t="str">
        <f t="shared" si="1"/>
        <v>Heaet</v>
      </c>
      <c r="N25" t="str">
        <f t="shared" si="2"/>
        <v>eads</v>
      </c>
    </row>
    <row r="26" spans="1:14" x14ac:dyDescent="0.3">
      <c r="A26" s="8">
        <v>1025</v>
      </c>
      <c r="B26" s="8" t="s">
        <v>21</v>
      </c>
      <c r="C26" s="8" t="s">
        <v>12</v>
      </c>
      <c r="D26" s="8" t="s">
        <v>18</v>
      </c>
      <c r="E26" s="8" t="s">
        <v>19</v>
      </c>
      <c r="F26" s="8">
        <v>18</v>
      </c>
      <c r="G26" s="8">
        <v>7924</v>
      </c>
      <c r="H26" s="8">
        <v>0</v>
      </c>
      <c r="I26" s="9">
        <v>46175</v>
      </c>
      <c r="J26" s="9">
        <v>46181</v>
      </c>
      <c r="K26" s="8" t="s">
        <v>15</v>
      </c>
      <c r="L26" t="str">
        <f t="shared" si="0"/>
        <v>Mee1025</v>
      </c>
      <c r="M26" t="str">
        <f t="shared" si="1"/>
        <v>Dessk</v>
      </c>
      <c r="N26" t="str">
        <f t="shared" si="2"/>
        <v>esk</v>
      </c>
    </row>
    <row r="27" spans="1:14" x14ac:dyDescent="0.3">
      <c r="A27" s="8">
        <v>1026</v>
      </c>
      <c r="B27" s="8" t="s">
        <v>49</v>
      </c>
      <c r="C27" s="8" t="s">
        <v>31</v>
      </c>
      <c r="D27" s="8" t="s">
        <v>13</v>
      </c>
      <c r="E27" s="8" t="s">
        <v>50</v>
      </c>
      <c r="F27" s="8">
        <v>17</v>
      </c>
      <c r="G27" s="8">
        <v>323</v>
      </c>
      <c r="H27" s="8">
        <v>10</v>
      </c>
      <c r="I27" s="9">
        <v>46039</v>
      </c>
      <c r="J27" s="9">
        <v>46040</v>
      </c>
      <c r="K27" s="8" t="s">
        <v>29</v>
      </c>
      <c r="L27" t="str">
        <f t="shared" si="0"/>
        <v>Aja1026</v>
      </c>
      <c r="M27" t="str">
        <f t="shared" si="1"/>
        <v>Marer</v>
      </c>
      <c r="N27" t="str">
        <f t="shared" si="2"/>
        <v>arke</v>
      </c>
    </row>
    <row r="28" spans="1:14" x14ac:dyDescent="0.3">
      <c r="A28" s="8">
        <v>1027</v>
      </c>
      <c r="B28" s="8" t="s">
        <v>29</v>
      </c>
      <c r="C28" s="8" t="s">
        <v>43</v>
      </c>
      <c r="D28" s="8" t="s">
        <v>13</v>
      </c>
      <c r="E28" s="8" t="s">
        <v>50</v>
      </c>
      <c r="F28" s="8">
        <v>4</v>
      </c>
      <c r="G28" s="8">
        <v>264</v>
      </c>
      <c r="H28" s="8">
        <v>0</v>
      </c>
      <c r="I28" s="9">
        <v>46155</v>
      </c>
      <c r="J28" s="9">
        <v>46161</v>
      </c>
      <c r="K28" s="8" t="s">
        <v>51</v>
      </c>
      <c r="L28" t="str">
        <f t="shared" si="0"/>
        <v>Pri1027</v>
      </c>
      <c r="M28" t="str">
        <f t="shared" si="1"/>
        <v>Marer</v>
      </c>
      <c r="N28" t="str">
        <f t="shared" si="2"/>
        <v>arke</v>
      </c>
    </row>
    <row r="29" spans="1:14" x14ac:dyDescent="0.3">
      <c r="A29" s="8">
        <v>1028</v>
      </c>
      <c r="B29" s="8" t="s">
        <v>47</v>
      </c>
      <c r="C29" s="8" t="s">
        <v>22</v>
      </c>
      <c r="D29" s="8" t="s">
        <v>13</v>
      </c>
      <c r="E29" s="8" t="s">
        <v>36</v>
      </c>
      <c r="F29" s="8">
        <v>13</v>
      </c>
      <c r="G29" s="8">
        <v>433</v>
      </c>
      <c r="H29" s="8">
        <v>2</v>
      </c>
      <c r="I29" s="9">
        <v>46116</v>
      </c>
      <c r="J29" s="9">
        <v>46121</v>
      </c>
      <c r="K29" s="8" t="s">
        <v>24</v>
      </c>
      <c r="L29" t="str">
        <f t="shared" si="0"/>
        <v>Yas1028</v>
      </c>
      <c r="M29" t="str">
        <f t="shared" si="1"/>
        <v>Staer</v>
      </c>
      <c r="N29" t="str">
        <f t="shared" si="2"/>
        <v>tapl</v>
      </c>
    </row>
    <row r="30" spans="1:14" x14ac:dyDescent="0.3">
      <c r="A30" s="8">
        <v>1029</v>
      </c>
      <c r="B30" s="8" t="s">
        <v>30</v>
      </c>
      <c r="C30" s="8" t="s">
        <v>25</v>
      </c>
      <c r="D30" s="8" t="s">
        <v>13</v>
      </c>
      <c r="E30" s="8" t="s">
        <v>36</v>
      </c>
      <c r="F30" s="8">
        <v>18</v>
      </c>
      <c r="G30" s="8">
        <v>443</v>
      </c>
      <c r="H30" s="8">
        <v>5</v>
      </c>
      <c r="I30" s="9">
        <v>46046</v>
      </c>
      <c r="J30" s="9">
        <v>46054</v>
      </c>
      <c r="K30" s="8" t="s">
        <v>24</v>
      </c>
      <c r="L30" t="str">
        <f t="shared" si="0"/>
        <v>Neh1029</v>
      </c>
      <c r="M30" t="str">
        <f t="shared" si="1"/>
        <v>Staer</v>
      </c>
      <c r="N30" t="str">
        <f t="shared" si="2"/>
        <v>tapl</v>
      </c>
    </row>
    <row r="31" spans="1:14" x14ac:dyDescent="0.3">
      <c r="A31" s="8">
        <v>1030</v>
      </c>
      <c r="B31" s="8" t="s">
        <v>52</v>
      </c>
      <c r="C31" s="8" t="s">
        <v>12</v>
      </c>
      <c r="D31" s="8" t="s">
        <v>13</v>
      </c>
      <c r="E31" s="8" t="s">
        <v>53</v>
      </c>
      <c r="F31" s="8">
        <v>13</v>
      </c>
      <c r="G31" s="8">
        <v>336</v>
      </c>
      <c r="H31" s="8">
        <v>10</v>
      </c>
      <c r="I31" s="9">
        <v>46098</v>
      </c>
      <c r="J31" s="9">
        <v>46108</v>
      </c>
      <c r="K31" s="8" t="s">
        <v>15</v>
      </c>
      <c r="L31" t="str">
        <f t="shared" si="0"/>
        <v>Kom1030</v>
      </c>
      <c r="M31" t="str">
        <f t="shared" si="1"/>
        <v>Diary</v>
      </c>
      <c r="N31" t="str">
        <f t="shared" si="2"/>
        <v>iary</v>
      </c>
    </row>
    <row r="32" spans="1:14" x14ac:dyDescent="0.3">
      <c r="A32" s="8">
        <v>1031</v>
      </c>
      <c r="B32" s="8" t="s">
        <v>54</v>
      </c>
      <c r="C32" s="8" t="s">
        <v>31</v>
      </c>
      <c r="D32" s="8" t="s">
        <v>13</v>
      </c>
      <c r="E32" s="8" t="s">
        <v>53</v>
      </c>
      <c r="F32" s="8">
        <v>2</v>
      </c>
      <c r="G32" s="8">
        <v>184</v>
      </c>
      <c r="H32" s="8">
        <v>5</v>
      </c>
      <c r="I32" s="9">
        <v>46089</v>
      </c>
      <c r="J32" s="9">
        <v>46093</v>
      </c>
      <c r="K32" s="8" t="s">
        <v>20</v>
      </c>
      <c r="L32" t="str">
        <f t="shared" si="0"/>
        <v>Man1031</v>
      </c>
      <c r="M32" t="str">
        <f t="shared" si="1"/>
        <v>Diary</v>
      </c>
      <c r="N32" t="str">
        <f t="shared" si="2"/>
        <v>iary</v>
      </c>
    </row>
    <row r="33" spans="1:14" x14ac:dyDescent="0.3">
      <c r="A33" s="8">
        <v>1032</v>
      </c>
      <c r="B33" s="8" t="s">
        <v>54</v>
      </c>
      <c r="C33" s="8" t="s">
        <v>43</v>
      </c>
      <c r="D33" s="8" t="s">
        <v>34</v>
      </c>
      <c r="E33" s="8" t="s">
        <v>39</v>
      </c>
      <c r="F33" s="8">
        <v>20</v>
      </c>
      <c r="G33" s="8">
        <v>11305</v>
      </c>
      <c r="H33" s="8">
        <v>2</v>
      </c>
      <c r="I33" s="9">
        <v>46163</v>
      </c>
      <c r="J33" s="9">
        <v>46165</v>
      </c>
      <c r="K33" s="8" t="s">
        <v>29</v>
      </c>
      <c r="L33" t="str">
        <f t="shared" si="0"/>
        <v>Man1032</v>
      </c>
      <c r="M33" t="str">
        <f t="shared" si="1"/>
        <v>Keyrd</v>
      </c>
      <c r="N33" t="str">
        <f t="shared" si="2"/>
        <v>eybo</v>
      </c>
    </row>
    <row r="34" spans="1:14" x14ac:dyDescent="0.3">
      <c r="A34" s="8">
        <v>1033</v>
      </c>
      <c r="B34" s="8" t="s">
        <v>11</v>
      </c>
      <c r="C34" s="8" t="s">
        <v>43</v>
      </c>
      <c r="D34" s="8" t="s">
        <v>18</v>
      </c>
      <c r="E34" s="8" t="s">
        <v>19</v>
      </c>
      <c r="F34" s="8">
        <v>9</v>
      </c>
      <c r="G34" s="8">
        <v>4895</v>
      </c>
      <c r="H34" s="8">
        <v>2</v>
      </c>
      <c r="I34" s="9">
        <v>46082</v>
      </c>
      <c r="J34" s="9">
        <v>46084</v>
      </c>
      <c r="K34" s="8" t="s">
        <v>29</v>
      </c>
      <c r="L34" t="str">
        <f t="shared" si="0"/>
        <v>Rit1033</v>
      </c>
      <c r="M34" t="str">
        <f t="shared" si="1"/>
        <v>Dessk</v>
      </c>
      <c r="N34" t="str">
        <f t="shared" si="2"/>
        <v>esk</v>
      </c>
    </row>
    <row r="35" spans="1:14" x14ac:dyDescent="0.3">
      <c r="A35" s="8">
        <v>1034</v>
      </c>
      <c r="B35" s="8" t="s">
        <v>55</v>
      </c>
      <c r="C35" s="8" t="s">
        <v>33</v>
      </c>
      <c r="D35" s="8" t="s">
        <v>18</v>
      </c>
      <c r="E35" s="8" t="s">
        <v>28</v>
      </c>
      <c r="F35" s="8">
        <v>17</v>
      </c>
      <c r="G35" s="8">
        <v>5104</v>
      </c>
      <c r="H35" s="8">
        <v>12</v>
      </c>
      <c r="I35" s="9">
        <v>46052</v>
      </c>
      <c r="J35" s="9">
        <v>46061</v>
      </c>
      <c r="K35" s="8" t="s">
        <v>51</v>
      </c>
      <c r="L35" t="str">
        <f t="shared" si="0"/>
        <v>Sne1034</v>
      </c>
      <c r="M35" t="str">
        <f t="shared" si="1"/>
        <v>Chair</v>
      </c>
      <c r="N35" t="str">
        <f t="shared" si="2"/>
        <v>hair</v>
      </c>
    </row>
    <row r="36" spans="1:14" x14ac:dyDescent="0.3">
      <c r="A36" s="8">
        <v>1035</v>
      </c>
      <c r="B36" s="8" t="s">
        <v>49</v>
      </c>
      <c r="C36" s="8" t="s">
        <v>43</v>
      </c>
      <c r="D36" s="8" t="s">
        <v>18</v>
      </c>
      <c r="E36" s="8" t="s">
        <v>56</v>
      </c>
      <c r="F36" s="8">
        <v>3</v>
      </c>
      <c r="G36" s="8">
        <v>9149</v>
      </c>
      <c r="H36" s="8">
        <v>0</v>
      </c>
      <c r="I36" s="9">
        <v>46031</v>
      </c>
      <c r="J36" s="9">
        <v>46034</v>
      </c>
      <c r="K36" s="8" t="s">
        <v>24</v>
      </c>
      <c r="L36" t="str">
        <f t="shared" si="0"/>
        <v>Aja1035</v>
      </c>
      <c r="M36" t="str">
        <f t="shared" si="1"/>
        <v>Cabet</v>
      </c>
      <c r="N36" t="str">
        <f t="shared" si="2"/>
        <v>abin</v>
      </c>
    </row>
    <row r="37" spans="1:14" x14ac:dyDescent="0.3">
      <c r="A37" s="8">
        <v>1036</v>
      </c>
      <c r="B37" s="8" t="s">
        <v>11</v>
      </c>
      <c r="C37" s="8" t="s">
        <v>25</v>
      </c>
      <c r="D37" s="8" t="s">
        <v>13</v>
      </c>
      <c r="E37" s="8" t="s">
        <v>36</v>
      </c>
      <c r="F37" s="8">
        <v>20</v>
      </c>
      <c r="G37" s="8">
        <v>161</v>
      </c>
      <c r="H37" s="8">
        <v>7</v>
      </c>
      <c r="I37" s="9">
        <v>46071</v>
      </c>
      <c r="J37" s="9">
        <v>46077</v>
      </c>
      <c r="K37" s="8" t="s">
        <v>24</v>
      </c>
      <c r="L37" t="str">
        <f t="shared" si="0"/>
        <v>Rit1036</v>
      </c>
      <c r="M37" t="str">
        <f t="shared" si="1"/>
        <v>Staer</v>
      </c>
      <c r="N37" t="str">
        <f t="shared" si="2"/>
        <v>tapl</v>
      </c>
    </row>
    <row r="38" spans="1:14" x14ac:dyDescent="0.3">
      <c r="A38" s="8">
        <v>1037</v>
      </c>
      <c r="B38" s="8" t="s">
        <v>46</v>
      </c>
      <c r="C38" s="8" t="s">
        <v>43</v>
      </c>
      <c r="D38" s="8" t="s">
        <v>18</v>
      </c>
      <c r="E38" s="8" t="s">
        <v>56</v>
      </c>
      <c r="F38" s="8">
        <v>6</v>
      </c>
      <c r="G38" s="8">
        <v>14385</v>
      </c>
      <c r="H38" s="8">
        <v>12</v>
      </c>
      <c r="I38" s="9">
        <v>46033</v>
      </c>
      <c r="J38" s="9">
        <v>46043</v>
      </c>
      <c r="K38" s="8" t="s">
        <v>24</v>
      </c>
      <c r="L38" t="str">
        <f t="shared" si="0"/>
        <v>Kir1037</v>
      </c>
      <c r="M38" t="str">
        <f t="shared" si="1"/>
        <v>Cabet</v>
      </c>
      <c r="N38" t="str">
        <f t="shared" si="2"/>
        <v>abin</v>
      </c>
    </row>
    <row r="39" spans="1:14" x14ac:dyDescent="0.3">
      <c r="A39" s="8">
        <v>1038</v>
      </c>
      <c r="B39" s="8" t="s">
        <v>55</v>
      </c>
      <c r="C39" s="8" t="s">
        <v>17</v>
      </c>
      <c r="D39" s="8" t="s">
        <v>13</v>
      </c>
      <c r="E39" s="8" t="s">
        <v>36</v>
      </c>
      <c r="F39" s="8">
        <v>17</v>
      </c>
      <c r="G39" s="8">
        <v>223</v>
      </c>
      <c r="H39" s="8">
        <v>7</v>
      </c>
      <c r="I39" s="9">
        <v>46030</v>
      </c>
      <c r="J39" s="9">
        <v>46031</v>
      </c>
      <c r="K39" s="8" t="s">
        <v>51</v>
      </c>
      <c r="L39" t="str">
        <f t="shared" si="0"/>
        <v>Sne1038</v>
      </c>
      <c r="M39" t="str">
        <f t="shared" si="1"/>
        <v>Staer</v>
      </c>
      <c r="N39" t="str">
        <f t="shared" si="2"/>
        <v>tapl</v>
      </c>
    </row>
    <row r="40" spans="1:14" x14ac:dyDescent="0.3">
      <c r="A40" s="8">
        <v>1039</v>
      </c>
      <c r="B40" s="8" t="s">
        <v>48</v>
      </c>
      <c r="C40" s="8" t="s">
        <v>38</v>
      </c>
      <c r="D40" s="8" t="s">
        <v>34</v>
      </c>
      <c r="E40" s="8" t="s">
        <v>45</v>
      </c>
      <c r="F40" s="8">
        <v>5</v>
      </c>
      <c r="G40" s="8">
        <v>60236</v>
      </c>
      <c r="H40" s="8">
        <v>10</v>
      </c>
      <c r="I40" s="9">
        <v>46107</v>
      </c>
      <c r="J40" s="9">
        <v>46110</v>
      </c>
      <c r="K40" s="8" t="s">
        <v>20</v>
      </c>
      <c r="L40" t="str">
        <f t="shared" si="0"/>
        <v>Nit1039</v>
      </c>
      <c r="M40" t="str">
        <f t="shared" si="1"/>
        <v>Monor</v>
      </c>
      <c r="N40" t="str">
        <f t="shared" si="2"/>
        <v>onit</v>
      </c>
    </row>
    <row r="41" spans="1:14" x14ac:dyDescent="0.3">
      <c r="A41" s="8">
        <v>1040</v>
      </c>
      <c r="B41" s="8" t="s">
        <v>49</v>
      </c>
      <c r="C41" s="8" t="s">
        <v>38</v>
      </c>
      <c r="D41" s="8" t="s">
        <v>18</v>
      </c>
      <c r="E41" s="8" t="s">
        <v>28</v>
      </c>
      <c r="F41" s="8">
        <v>10</v>
      </c>
      <c r="G41" s="8">
        <v>7531</v>
      </c>
      <c r="H41" s="8">
        <v>2</v>
      </c>
      <c r="I41" s="9">
        <v>46171</v>
      </c>
      <c r="J41" s="9">
        <v>46178</v>
      </c>
      <c r="K41" s="8" t="s">
        <v>24</v>
      </c>
      <c r="L41" t="str">
        <f t="shared" si="0"/>
        <v>Aja1040</v>
      </c>
      <c r="M41" t="str">
        <f t="shared" si="1"/>
        <v>Chair</v>
      </c>
      <c r="N41" t="str">
        <f t="shared" si="2"/>
        <v>hair</v>
      </c>
    </row>
    <row r="42" spans="1:14" x14ac:dyDescent="0.3">
      <c r="A42" s="8">
        <v>1041</v>
      </c>
      <c r="B42" s="8" t="s">
        <v>54</v>
      </c>
      <c r="C42" s="8" t="s">
        <v>38</v>
      </c>
      <c r="D42" s="8" t="s">
        <v>13</v>
      </c>
      <c r="E42" s="8" t="s">
        <v>50</v>
      </c>
      <c r="F42" s="8">
        <v>9</v>
      </c>
      <c r="G42" s="8">
        <v>71</v>
      </c>
      <c r="H42" s="8">
        <v>7</v>
      </c>
      <c r="I42" s="9">
        <v>46185</v>
      </c>
      <c r="J42" s="9">
        <v>46188</v>
      </c>
      <c r="K42" s="8" t="s">
        <v>15</v>
      </c>
      <c r="L42" t="str">
        <f t="shared" si="0"/>
        <v>Man1041</v>
      </c>
      <c r="M42" t="str">
        <f t="shared" si="1"/>
        <v>Marer</v>
      </c>
      <c r="N42" t="str">
        <f t="shared" si="2"/>
        <v>arke</v>
      </c>
    </row>
    <row r="43" spans="1:14" x14ac:dyDescent="0.3">
      <c r="A43" s="8">
        <v>1042</v>
      </c>
      <c r="B43" s="8" t="s">
        <v>46</v>
      </c>
      <c r="C43" s="8" t="s">
        <v>33</v>
      </c>
      <c r="D43" s="8" t="s">
        <v>13</v>
      </c>
      <c r="E43" s="8" t="s">
        <v>53</v>
      </c>
      <c r="F43" s="8">
        <v>16</v>
      </c>
      <c r="G43" s="8">
        <v>232</v>
      </c>
      <c r="H43" s="8">
        <v>0</v>
      </c>
      <c r="I43" s="9">
        <v>46081</v>
      </c>
      <c r="J43" s="9">
        <v>46088</v>
      </c>
      <c r="K43" s="8" t="s">
        <v>29</v>
      </c>
      <c r="L43" t="str">
        <f t="shared" si="0"/>
        <v>Kir1042</v>
      </c>
      <c r="M43" t="str">
        <f t="shared" si="1"/>
        <v>Diary</v>
      </c>
      <c r="N43" t="str">
        <f t="shared" si="2"/>
        <v>iary</v>
      </c>
    </row>
    <row r="44" spans="1:14" x14ac:dyDescent="0.3">
      <c r="A44" s="8">
        <v>1043</v>
      </c>
      <c r="B44" s="8" t="s">
        <v>49</v>
      </c>
      <c r="C44" s="8" t="s">
        <v>38</v>
      </c>
      <c r="D44" s="8" t="s">
        <v>34</v>
      </c>
      <c r="E44" s="8" t="s">
        <v>35</v>
      </c>
      <c r="F44" s="8">
        <v>20</v>
      </c>
      <c r="G44" s="8">
        <v>46093</v>
      </c>
      <c r="H44" s="8">
        <v>5</v>
      </c>
      <c r="I44" s="9">
        <v>46091</v>
      </c>
      <c r="J44" s="9">
        <v>46098</v>
      </c>
      <c r="K44" s="8" t="s">
        <v>29</v>
      </c>
      <c r="L44" t="str">
        <f t="shared" si="0"/>
        <v>Aja1043</v>
      </c>
      <c r="M44" t="str">
        <f t="shared" si="1"/>
        <v>Prier</v>
      </c>
      <c r="N44" t="str">
        <f t="shared" si="2"/>
        <v>rint</v>
      </c>
    </row>
    <row r="45" spans="1:14" x14ac:dyDescent="0.3">
      <c r="A45" s="8">
        <v>1044</v>
      </c>
      <c r="B45" s="8" t="s">
        <v>48</v>
      </c>
      <c r="C45" s="8" t="s">
        <v>38</v>
      </c>
      <c r="D45" s="8" t="s">
        <v>18</v>
      </c>
      <c r="E45" s="8" t="s">
        <v>19</v>
      </c>
      <c r="F45" s="8">
        <v>4</v>
      </c>
      <c r="G45" s="8">
        <v>14731</v>
      </c>
      <c r="H45" s="8">
        <v>2</v>
      </c>
      <c r="I45" s="9">
        <v>46173</v>
      </c>
      <c r="J45" s="9">
        <v>46176</v>
      </c>
      <c r="K45" s="8" t="s">
        <v>20</v>
      </c>
      <c r="L45" t="str">
        <f t="shared" si="0"/>
        <v>Nit1044</v>
      </c>
      <c r="M45" t="str">
        <f t="shared" si="1"/>
        <v>Dessk</v>
      </c>
      <c r="N45" t="str">
        <f t="shared" si="2"/>
        <v>esk</v>
      </c>
    </row>
    <row r="46" spans="1:14" x14ac:dyDescent="0.3">
      <c r="A46" s="8">
        <v>1045</v>
      </c>
      <c r="B46" s="8" t="s">
        <v>32</v>
      </c>
      <c r="C46" s="8" t="s">
        <v>38</v>
      </c>
      <c r="D46" s="8" t="s">
        <v>34</v>
      </c>
      <c r="E46" s="8" t="s">
        <v>35</v>
      </c>
      <c r="F46" s="8">
        <v>3</v>
      </c>
      <c r="G46" s="8">
        <v>62762</v>
      </c>
      <c r="H46" s="8">
        <v>7</v>
      </c>
      <c r="I46" s="9">
        <v>46038</v>
      </c>
      <c r="J46" s="9">
        <v>46039</v>
      </c>
      <c r="K46" s="8" t="s">
        <v>29</v>
      </c>
      <c r="L46" t="str">
        <f t="shared" si="0"/>
        <v>Ash1045</v>
      </c>
      <c r="M46" t="str">
        <f t="shared" si="1"/>
        <v>Prier</v>
      </c>
      <c r="N46" t="str">
        <f t="shared" si="2"/>
        <v>rint</v>
      </c>
    </row>
    <row r="47" spans="1:14" x14ac:dyDescent="0.3">
      <c r="A47" s="8">
        <v>1046</v>
      </c>
      <c r="B47" s="8" t="s">
        <v>57</v>
      </c>
      <c r="C47" s="8" t="s">
        <v>38</v>
      </c>
      <c r="D47" s="8" t="s">
        <v>34</v>
      </c>
      <c r="E47" s="8" t="s">
        <v>45</v>
      </c>
      <c r="F47" s="8">
        <v>3</v>
      </c>
      <c r="G47" s="8">
        <v>19443</v>
      </c>
      <c r="H47" s="8">
        <v>10</v>
      </c>
      <c r="I47" s="9">
        <v>46153</v>
      </c>
      <c r="J47" s="9">
        <v>46158</v>
      </c>
      <c r="K47" s="8" t="s">
        <v>29</v>
      </c>
      <c r="L47" t="str">
        <f t="shared" si="0"/>
        <v>Sar1046</v>
      </c>
      <c r="M47" t="str">
        <f t="shared" si="1"/>
        <v>Monor</v>
      </c>
      <c r="N47" t="str">
        <f t="shared" si="2"/>
        <v>onit</v>
      </c>
    </row>
    <row r="48" spans="1:14" x14ac:dyDescent="0.3">
      <c r="A48" s="8">
        <v>1047</v>
      </c>
      <c r="B48" s="8" t="s">
        <v>58</v>
      </c>
      <c r="C48" s="8" t="s">
        <v>38</v>
      </c>
      <c r="D48" s="8" t="s">
        <v>18</v>
      </c>
      <c r="E48" s="8" t="s">
        <v>56</v>
      </c>
      <c r="F48" s="8">
        <v>11</v>
      </c>
      <c r="G48" s="8">
        <v>9976</v>
      </c>
      <c r="H48" s="8">
        <v>12</v>
      </c>
      <c r="I48" s="9">
        <v>46200</v>
      </c>
      <c r="J48" s="9">
        <v>46209</v>
      </c>
      <c r="K48" s="8" t="s">
        <v>15</v>
      </c>
      <c r="L48" t="str">
        <f t="shared" si="0"/>
        <v>Roh1047</v>
      </c>
      <c r="M48" t="str">
        <f t="shared" si="1"/>
        <v>Cabet</v>
      </c>
      <c r="N48" t="str">
        <f t="shared" si="2"/>
        <v>abin</v>
      </c>
    </row>
    <row r="49" spans="1:14" x14ac:dyDescent="0.3">
      <c r="A49" s="8">
        <v>1048</v>
      </c>
      <c r="B49" s="8" t="s">
        <v>59</v>
      </c>
      <c r="C49" s="8" t="s">
        <v>25</v>
      </c>
      <c r="D49" s="8" t="s">
        <v>34</v>
      </c>
      <c r="E49" s="8" t="s">
        <v>60</v>
      </c>
      <c r="F49" s="8">
        <v>14</v>
      </c>
      <c r="G49" s="8">
        <v>11762</v>
      </c>
      <c r="H49" s="8">
        <v>7</v>
      </c>
      <c r="I49" s="9">
        <v>46180</v>
      </c>
      <c r="J49" s="9">
        <v>46186</v>
      </c>
      <c r="K49" s="8" t="s">
        <v>24</v>
      </c>
      <c r="L49" t="str">
        <f t="shared" si="0"/>
        <v>Ani1048</v>
      </c>
      <c r="M49" t="str">
        <f t="shared" si="1"/>
        <v>Lapop</v>
      </c>
      <c r="N49" t="str">
        <f t="shared" si="2"/>
        <v>apto</v>
      </c>
    </row>
    <row r="50" spans="1:14" x14ac:dyDescent="0.3">
      <c r="A50" s="8">
        <v>1049</v>
      </c>
      <c r="B50" s="8" t="s">
        <v>52</v>
      </c>
      <c r="C50" s="8" t="s">
        <v>25</v>
      </c>
      <c r="D50" s="8" t="s">
        <v>34</v>
      </c>
      <c r="E50" s="8" t="s">
        <v>45</v>
      </c>
      <c r="F50" s="8">
        <v>2</v>
      </c>
      <c r="G50" s="8">
        <v>40789</v>
      </c>
      <c r="H50" s="8">
        <v>0</v>
      </c>
      <c r="I50" s="9">
        <v>46102</v>
      </c>
      <c r="J50" s="9">
        <v>46108</v>
      </c>
      <c r="K50" s="8" t="s">
        <v>24</v>
      </c>
      <c r="L50" t="str">
        <f t="shared" si="0"/>
        <v>Kom1049</v>
      </c>
      <c r="M50" t="str">
        <f t="shared" si="1"/>
        <v>Monor</v>
      </c>
      <c r="N50" t="str">
        <f t="shared" si="2"/>
        <v>onit</v>
      </c>
    </row>
    <row r="51" spans="1:14" x14ac:dyDescent="0.3">
      <c r="A51" s="8">
        <v>1050</v>
      </c>
      <c r="B51" s="8" t="s">
        <v>32</v>
      </c>
      <c r="C51" s="8" t="s">
        <v>25</v>
      </c>
      <c r="D51" s="8" t="s">
        <v>13</v>
      </c>
      <c r="E51" s="8" t="s">
        <v>53</v>
      </c>
      <c r="F51" s="8">
        <v>12</v>
      </c>
      <c r="G51" s="8">
        <v>360</v>
      </c>
      <c r="H51" s="8">
        <v>5</v>
      </c>
      <c r="I51" s="9">
        <v>46127</v>
      </c>
      <c r="J51" s="9">
        <v>46137</v>
      </c>
      <c r="K51" s="8" t="s">
        <v>29</v>
      </c>
      <c r="L51" t="str">
        <f t="shared" si="0"/>
        <v>Ash1050</v>
      </c>
      <c r="M51" t="str">
        <f t="shared" si="1"/>
        <v>Diary</v>
      </c>
      <c r="N51" t="str">
        <f t="shared" si="2"/>
        <v>iary</v>
      </c>
    </row>
    <row r="52" spans="1:14" x14ac:dyDescent="0.3">
      <c r="A52" s="8">
        <v>1051</v>
      </c>
      <c r="B52" s="8" t="s">
        <v>58</v>
      </c>
      <c r="C52" s="8" t="s">
        <v>17</v>
      </c>
      <c r="D52" s="8" t="s">
        <v>13</v>
      </c>
      <c r="E52" s="8" t="s">
        <v>36</v>
      </c>
      <c r="F52" s="8">
        <v>12</v>
      </c>
      <c r="G52" s="8">
        <v>47</v>
      </c>
      <c r="H52" s="8">
        <v>2</v>
      </c>
      <c r="I52" s="9">
        <v>46037</v>
      </c>
      <c r="J52" s="9">
        <v>46045</v>
      </c>
      <c r="K52" s="8" t="s">
        <v>15</v>
      </c>
      <c r="L52" t="str">
        <f t="shared" si="0"/>
        <v>Roh1051</v>
      </c>
      <c r="M52" t="str">
        <f t="shared" si="1"/>
        <v>Staer</v>
      </c>
      <c r="N52" t="str">
        <f t="shared" si="2"/>
        <v>tapl</v>
      </c>
    </row>
    <row r="53" spans="1:14" x14ac:dyDescent="0.3">
      <c r="A53" s="8">
        <v>1052</v>
      </c>
      <c r="B53" s="8" t="s">
        <v>55</v>
      </c>
      <c r="C53" s="8" t="s">
        <v>12</v>
      </c>
      <c r="D53" s="8" t="s">
        <v>13</v>
      </c>
      <c r="E53" s="8" t="s">
        <v>14</v>
      </c>
      <c r="F53" s="8">
        <v>17</v>
      </c>
      <c r="G53" s="8">
        <v>172</v>
      </c>
      <c r="H53" s="8">
        <v>10</v>
      </c>
      <c r="I53" s="9">
        <v>46159</v>
      </c>
      <c r="J53" s="9">
        <v>46165</v>
      </c>
      <c r="K53" s="8" t="s">
        <v>20</v>
      </c>
      <c r="L53" t="str">
        <f t="shared" si="0"/>
        <v>Sne1052</v>
      </c>
      <c r="M53" t="str">
        <f t="shared" si="1"/>
        <v>Notok</v>
      </c>
      <c r="N53" t="str">
        <f t="shared" si="2"/>
        <v>oteb</v>
      </c>
    </row>
    <row r="54" spans="1:14" x14ac:dyDescent="0.3">
      <c r="A54" s="8">
        <v>1053</v>
      </c>
      <c r="B54" s="8" t="s">
        <v>16</v>
      </c>
      <c r="C54" s="8" t="s">
        <v>33</v>
      </c>
      <c r="D54" s="8" t="s">
        <v>18</v>
      </c>
      <c r="E54" s="8" t="s">
        <v>28</v>
      </c>
      <c r="F54" s="8">
        <v>1</v>
      </c>
      <c r="G54" s="8">
        <v>9749</v>
      </c>
      <c r="H54" s="8">
        <v>15</v>
      </c>
      <c r="I54" s="9">
        <v>46064</v>
      </c>
      <c r="J54" s="9">
        <v>46070</v>
      </c>
      <c r="K54" s="8" t="s">
        <v>24</v>
      </c>
      <c r="L54" t="str">
        <f t="shared" si="0"/>
        <v>Poo1053</v>
      </c>
      <c r="M54" t="str">
        <f t="shared" si="1"/>
        <v>Chair</v>
      </c>
      <c r="N54" t="str">
        <f t="shared" si="2"/>
        <v>hair</v>
      </c>
    </row>
    <row r="55" spans="1:14" x14ac:dyDescent="0.3">
      <c r="A55" s="8">
        <v>1054</v>
      </c>
      <c r="B55" s="8" t="s">
        <v>26</v>
      </c>
      <c r="C55" s="8" t="s">
        <v>25</v>
      </c>
      <c r="D55" s="8" t="s">
        <v>18</v>
      </c>
      <c r="E55" s="8" t="s">
        <v>23</v>
      </c>
      <c r="F55" s="8">
        <v>8</v>
      </c>
      <c r="G55" s="8">
        <v>9798</v>
      </c>
      <c r="H55" s="8">
        <v>12</v>
      </c>
      <c r="I55" s="9">
        <v>46200</v>
      </c>
      <c r="J55" s="9">
        <v>46201</v>
      </c>
      <c r="K55" s="8" t="s">
        <v>51</v>
      </c>
      <c r="L55" t="str">
        <f t="shared" si="0"/>
        <v>Vik1054</v>
      </c>
      <c r="M55" t="str">
        <f t="shared" si="1"/>
        <v>Table</v>
      </c>
      <c r="N55" t="str">
        <f t="shared" si="2"/>
        <v>able</v>
      </c>
    </row>
    <row r="56" spans="1:14" x14ac:dyDescent="0.3">
      <c r="A56" s="8">
        <v>1055</v>
      </c>
      <c r="B56" s="8" t="s">
        <v>48</v>
      </c>
      <c r="C56" s="8" t="s">
        <v>12</v>
      </c>
      <c r="D56" s="8" t="s">
        <v>13</v>
      </c>
      <c r="E56" s="8" t="s">
        <v>37</v>
      </c>
      <c r="F56" s="8">
        <v>18</v>
      </c>
      <c r="G56" s="8">
        <v>185</v>
      </c>
      <c r="H56" s="8">
        <v>15</v>
      </c>
      <c r="I56" s="9">
        <v>46077</v>
      </c>
      <c r="J56" s="9">
        <v>46078</v>
      </c>
      <c r="K56" s="8" t="s">
        <v>15</v>
      </c>
      <c r="L56" t="str">
        <f t="shared" si="0"/>
        <v>Nit1055</v>
      </c>
      <c r="M56" t="str">
        <f t="shared" si="1"/>
        <v>Penck</v>
      </c>
      <c r="N56" t="str">
        <f t="shared" si="2"/>
        <v>en P</v>
      </c>
    </row>
    <row r="57" spans="1:14" x14ac:dyDescent="0.3">
      <c r="A57" s="8">
        <v>1056</v>
      </c>
      <c r="B57" s="8" t="s">
        <v>11</v>
      </c>
      <c r="C57" s="8" t="s">
        <v>22</v>
      </c>
      <c r="D57" s="8" t="s">
        <v>18</v>
      </c>
      <c r="E57" s="8" t="s">
        <v>19</v>
      </c>
      <c r="F57" s="8">
        <v>3</v>
      </c>
      <c r="G57" s="8">
        <v>9771</v>
      </c>
      <c r="H57" s="8">
        <v>5</v>
      </c>
      <c r="I57" s="9">
        <v>46133</v>
      </c>
      <c r="J57" s="9">
        <v>46139</v>
      </c>
      <c r="K57" s="8" t="s">
        <v>24</v>
      </c>
      <c r="L57" t="str">
        <f t="shared" si="0"/>
        <v>Rit1056</v>
      </c>
      <c r="M57" t="str">
        <f t="shared" si="1"/>
        <v>Dessk</v>
      </c>
      <c r="N57" t="str">
        <f t="shared" si="2"/>
        <v>esk</v>
      </c>
    </row>
    <row r="58" spans="1:14" x14ac:dyDescent="0.3">
      <c r="A58" s="8">
        <v>1057</v>
      </c>
      <c r="B58" s="8" t="s">
        <v>59</v>
      </c>
      <c r="C58" s="8" t="s">
        <v>22</v>
      </c>
      <c r="D58" s="8" t="s">
        <v>18</v>
      </c>
      <c r="E58" s="8" t="s">
        <v>28</v>
      </c>
      <c r="F58" s="8">
        <v>2</v>
      </c>
      <c r="G58" s="8">
        <v>9531</v>
      </c>
      <c r="H58" s="8">
        <v>15</v>
      </c>
      <c r="I58" s="9">
        <v>46067</v>
      </c>
      <c r="J58" s="9">
        <v>46076</v>
      </c>
      <c r="K58" s="8" t="s">
        <v>51</v>
      </c>
      <c r="L58" t="str">
        <f t="shared" si="0"/>
        <v>Ani1057</v>
      </c>
      <c r="M58" t="str">
        <f t="shared" si="1"/>
        <v>Chair</v>
      </c>
      <c r="N58" t="str">
        <f t="shared" si="2"/>
        <v>hair</v>
      </c>
    </row>
    <row r="59" spans="1:14" x14ac:dyDescent="0.3">
      <c r="A59" s="8">
        <v>1058</v>
      </c>
      <c r="B59" s="8" t="s">
        <v>52</v>
      </c>
      <c r="C59" s="8" t="s">
        <v>38</v>
      </c>
      <c r="D59" s="8" t="s">
        <v>18</v>
      </c>
      <c r="E59" s="8" t="s">
        <v>28</v>
      </c>
      <c r="F59" s="8">
        <v>10</v>
      </c>
      <c r="G59" s="8">
        <v>5532</v>
      </c>
      <c r="H59" s="8">
        <v>7</v>
      </c>
      <c r="I59" s="9">
        <v>46074</v>
      </c>
      <c r="J59" s="9">
        <v>46084</v>
      </c>
      <c r="K59" s="8" t="s">
        <v>24</v>
      </c>
      <c r="L59" t="str">
        <f t="shared" si="0"/>
        <v>Kom1058</v>
      </c>
      <c r="M59" t="str">
        <f t="shared" si="1"/>
        <v>Chair</v>
      </c>
      <c r="N59" t="str">
        <f t="shared" si="2"/>
        <v>hair</v>
      </c>
    </row>
    <row r="60" spans="1:14" x14ac:dyDescent="0.3">
      <c r="A60" s="8">
        <v>1059</v>
      </c>
      <c r="B60" s="8" t="s">
        <v>54</v>
      </c>
      <c r="C60" s="8" t="s">
        <v>25</v>
      </c>
      <c r="D60" s="8" t="s">
        <v>13</v>
      </c>
      <c r="E60" s="8" t="s">
        <v>50</v>
      </c>
      <c r="F60" s="8">
        <v>20</v>
      </c>
      <c r="G60" s="8">
        <v>112</v>
      </c>
      <c r="H60" s="8">
        <v>10</v>
      </c>
      <c r="I60" s="9">
        <v>46113</v>
      </c>
      <c r="J60" s="9">
        <v>46122</v>
      </c>
      <c r="K60" s="8" t="s">
        <v>51</v>
      </c>
      <c r="L60" t="str">
        <f t="shared" si="0"/>
        <v>Man1059</v>
      </c>
      <c r="M60" t="str">
        <f t="shared" si="1"/>
        <v>Marer</v>
      </c>
      <c r="N60" t="str">
        <f t="shared" si="2"/>
        <v>arke</v>
      </c>
    </row>
    <row r="61" spans="1:14" x14ac:dyDescent="0.3">
      <c r="A61" s="8">
        <v>1060</v>
      </c>
      <c r="B61" s="8" t="s">
        <v>49</v>
      </c>
      <c r="C61" s="8" t="s">
        <v>12</v>
      </c>
      <c r="D61" s="8" t="s">
        <v>18</v>
      </c>
      <c r="E61" s="8" t="s">
        <v>44</v>
      </c>
      <c r="F61" s="8">
        <v>9</v>
      </c>
      <c r="G61" s="8">
        <v>9727</v>
      </c>
      <c r="H61" s="8">
        <v>2</v>
      </c>
      <c r="I61" s="9">
        <v>46024</v>
      </c>
      <c r="J61" s="9">
        <v>46030</v>
      </c>
      <c r="K61" s="8" t="s">
        <v>20</v>
      </c>
      <c r="L61" t="str">
        <f t="shared" si="0"/>
        <v>Aja1060</v>
      </c>
      <c r="M61" t="str">
        <f t="shared" si="1"/>
        <v>Boolf</v>
      </c>
      <c r="N61" t="str">
        <f t="shared" si="2"/>
        <v>ooks</v>
      </c>
    </row>
    <row r="62" spans="1:14" x14ac:dyDescent="0.3">
      <c r="A62" s="8">
        <v>1061</v>
      </c>
      <c r="B62" s="8" t="s">
        <v>57</v>
      </c>
      <c r="C62" s="8" t="s">
        <v>12</v>
      </c>
      <c r="D62" s="8" t="s">
        <v>34</v>
      </c>
      <c r="E62" s="8" t="s">
        <v>41</v>
      </c>
      <c r="F62" s="8">
        <v>16</v>
      </c>
      <c r="G62" s="8">
        <v>59084</v>
      </c>
      <c r="H62" s="8">
        <v>0</v>
      </c>
      <c r="I62" s="9">
        <v>46060</v>
      </c>
      <c r="J62" s="9">
        <v>46069</v>
      </c>
      <c r="K62" s="8" t="s">
        <v>20</v>
      </c>
      <c r="L62" t="str">
        <f t="shared" si="0"/>
        <v>Sar1061</v>
      </c>
      <c r="M62" t="str">
        <f t="shared" si="1"/>
        <v>Heaet</v>
      </c>
      <c r="N62" t="str">
        <f t="shared" si="2"/>
        <v>eads</v>
      </c>
    </row>
    <row r="63" spans="1:14" x14ac:dyDescent="0.3">
      <c r="A63" s="8">
        <v>1062</v>
      </c>
      <c r="B63" s="8" t="s">
        <v>40</v>
      </c>
      <c r="C63" s="8" t="s">
        <v>43</v>
      </c>
      <c r="D63" s="8" t="s">
        <v>18</v>
      </c>
      <c r="E63" s="8" t="s">
        <v>23</v>
      </c>
      <c r="F63" s="8">
        <v>8</v>
      </c>
      <c r="G63" s="8">
        <v>8360</v>
      </c>
      <c r="H63" s="8">
        <v>2</v>
      </c>
      <c r="I63" s="9">
        <v>46190</v>
      </c>
      <c r="J63" s="9">
        <v>46200</v>
      </c>
      <c r="K63" s="8" t="s">
        <v>51</v>
      </c>
      <c r="L63" t="str">
        <f t="shared" si="0"/>
        <v>Dee1062</v>
      </c>
      <c r="M63" t="str">
        <f t="shared" si="1"/>
        <v>Table</v>
      </c>
      <c r="N63" t="str">
        <f t="shared" si="2"/>
        <v>able</v>
      </c>
    </row>
    <row r="64" spans="1:14" x14ac:dyDescent="0.3">
      <c r="A64" s="8">
        <v>1063</v>
      </c>
      <c r="B64" s="8" t="s">
        <v>54</v>
      </c>
      <c r="C64" s="8" t="s">
        <v>22</v>
      </c>
      <c r="D64" s="8" t="s">
        <v>34</v>
      </c>
      <c r="E64" s="8" t="s">
        <v>45</v>
      </c>
      <c r="F64" s="8">
        <v>7</v>
      </c>
      <c r="G64" s="8">
        <v>66744</v>
      </c>
      <c r="H64" s="8">
        <v>7</v>
      </c>
      <c r="I64" s="9">
        <v>46148</v>
      </c>
      <c r="J64" s="9">
        <v>46155</v>
      </c>
      <c r="K64" s="8" t="s">
        <v>15</v>
      </c>
      <c r="L64" t="str">
        <f t="shared" si="0"/>
        <v>Man1063</v>
      </c>
      <c r="M64" t="str">
        <f t="shared" si="1"/>
        <v>Monor</v>
      </c>
      <c r="N64" t="str">
        <f t="shared" si="2"/>
        <v>onit</v>
      </c>
    </row>
    <row r="65" spans="1:14" x14ac:dyDescent="0.3">
      <c r="A65" s="8">
        <v>1064</v>
      </c>
      <c r="B65" s="8" t="s">
        <v>26</v>
      </c>
      <c r="C65" s="8" t="s">
        <v>17</v>
      </c>
      <c r="D65" s="8" t="s">
        <v>13</v>
      </c>
      <c r="E65" s="8" t="s">
        <v>50</v>
      </c>
      <c r="F65" s="8">
        <v>20</v>
      </c>
      <c r="G65" s="8">
        <v>191</v>
      </c>
      <c r="H65" s="8">
        <v>7</v>
      </c>
      <c r="I65" s="9">
        <v>46185</v>
      </c>
      <c r="J65" s="9">
        <v>46195</v>
      </c>
      <c r="K65" s="8" t="s">
        <v>29</v>
      </c>
      <c r="L65" t="str">
        <f t="shared" si="0"/>
        <v>Vik1064</v>
      </c>
      <c r="M65" t="str">
        <f t="shared" si="1"/>
        <v>Marer</v>
      </c>
      <c r="N65" t="str">
        <f t="shared" si="2"/>
        <v>arke</v>
      </c>
    </row>
    <row r="66" spans="1:14" x14ac:dyDescent="0.3">
      <c r="A66" s="8">
        <v>1065</v>
      </c>
      <c r="B66" s="8" t="s">
        <v>42</v>
      </c>
      <c r="C66" s="8" t="s">
        <v>43</v>
      </c>
      <c r="D66" s="8" t="s">
        <v>18</v>
      </c>
      <c r="E66" s="8" t="s">
        <v>44</v>
      </c>
      <c r="F66" s="8">
        <v>1</v>
      </c>
      <c r="G66" s="8">
        <v>7730</v>
      </c>
      <c r="H66" s="8">
        <v>5</v>
      </c>
      <c r="I66" s="9">
        <v>46192</v>
      </c>
      <c r="J66" s="9">
        <v>46195</v>
      </c>
      <c r="K66" s="8" t="s">
        <v>51</v>
      </c>
      <c r="L66" t="str">
        <f t="shared" si="0"/>
        <v>Nis1065</v>
      </c>
      <c r="M66" t="str">
        <f t="shared" si="1"/>
        <v>Boolf</v>
      </c>
      <c r="N66" t="str">
        <f t="shared" si="2"/>
        <v>ooks</v>
      </c>
    </row>
    <row r="67" spans="1:14" x14ac:dyDescent="0.3">
      <c r="A67" s="8">
        <v>1066</v>
      </c>
      <c r="B67" s="8" t="s">
        <v>47</v>
      </c>
      <c r="C67" s="8" t="s">
        <v>25</v>
      </c>
      <c r="D67" s="8" t="s">
        <v>18</v>
      </c>
      <c r="E67" s="8" t="s">
        <v>44</v>
      </c>
      <c r="F67" s="8">
        <v>15</v>
      </c>
      <c r="G67" s="8">
        <v>11987</v>
      </c>
      <c r="H67" s="8">
        <v>5</v>
      </c>
      <c r="I67" s="9">
        <v>46082</v>
      </c>
      <c r="J67" s="9">
        <v>46083</v>
      </c>
      <c r="K67" s="8" t="s">
        <v>15</v>
      </c>
      <c r="L67" t="str">
        <f t="shared" ref="L67:L130" si="3">LEFT(B67, 3)&amp;A67</f>
        <v>Yas1066</v>
      </c>
      <c r="M67" t="str">
        <f t="shared" ref="M67:M130" si="4">LEFT(E67, 3)&amp; RIGHT(E67, 2)</f>
        <v>Boolf</v>
      </c>
      <c r="N67" t="str">
        <f t="shared" ref="N67:N130" si="5">MID(E67, 2, 4)</f>
        <v>ooks</v>
      </c>
    </row>
    <row r="68" spans="1:14" x14ac:dyDescent="0.3">
      <c r="A68" s="8">
        <v>1067</v>
      </c>
      <c r="B68" s="8" t="s">
        <v>32</v>
      </c>
      <c r="C68" s="8" t="s">
        <v>43</v>
      </c>
      <c r="D68" s="8" t="s">
        <v>18</v>
      </c>
      <c r="E68" s="8" t="s">
        <v>56</v>
      </c>
      <c r="F68" s="8">
        <v>14</v>
      </c>
      <c r="G68" s="8">
        <v>10869</v>
      </c>
      <c r="H68" s="8">
        <v>0</v>
      </c>
      <c r="I68" s="9">
        <v>46058</v>
      </c>
      <c r="J68" s="9">
        <v>46062</v>
      </c>
      <c r="K68" s="8" t="s">
        <v>29</v>
      </c>
      <c r="L68" t="str">
        <f t="shared" si="3"/>
        <v>Ash1067</v>
      </c>
      <c r="M68" t="str">
        <f t="shared" si="4"/>
        <v>Cabet</v>
      </c>
      <c r="N68" t="str">
        <f t="shared" si="5"/>
        <v>abin</v>
      </c>
    </row>
    <row r="69" spans="1:14" x14ac:dyDescent="0.3">
      <c r="A69" s="8">
        <v>1068</v>
      </c>
      <c r="B69" s="8" t="s">
        <v>52</v>
      </c>
      <c r="C69" s="8" t="s">
        <v>43</v>
      </c>
      <c r="D69" s="8" t="s">
        <v>34</v>
      </c>
      <c r="E69" s="8" t="s">
        <v>60</v>
      </c>
      <c r="F69" s="8">
        <v>15</v>
      </c>
      <c r="G69" s="8">
        <v>14534</v>
      </c>
      <c r="H69" s="8">
        <v>5</v>
      </c>
      <c r="I69" s="9">
        <v>46196</v>
      </c>
      <c r="J69" s="9">
        <v>46199</v>
      </c>
      <c r="K69" s="8" t="s">
        <v>29</v>
      </c>
      <c r="L69" t="str">
        <f t="shared" si="3"/>
        <v>Kom1068</v>
      </c>
      <c r="M69" t="str">
        <f t="shared" si="4"/>
        <v>Lapop</v>
      </c>
      <c r="N69" t="str">
        <f t="shared" si="5"/>
        <v>apto</v>
      </c>
    </row>
    <row r="70" spans="1:14" x14ac:dyDescent="0.3">
      <c r="A70" s="8">
        <v>1069</v>
      </c>
      <c r="B70" s="8" t="s">
        <v>52</v>
      </c>
      <c r="C70" s="8" t="s">
        <v>31</v>
      </c>
      <c r="D70" s="8" t="s">
        <v>18</v>
      </c>
      <c r="E70" s="8" t="s">
        <v>28</v>
      </c>
      <c r="F70" s="8">
        <v>9</v>
      </c>
      <c r="G70" s="8">
        <v>4415</v>
      </c>
      <c r="H70" s="8">
        <v>5</v>
      </c>
      <c r="I70" s="9">
        <v>46039</v>
      </c>
      <c r="J70" s="9">
        <v>46046</v>
      </c>
      <c r="K70" s="8" t="s">
        <v>15</v>
      </c>
      <c r="L70" t="str">
        <f t="shared" si="3"/>
        <v>Kom1069</v>
      </c>
      <c r="M70" t="str">
        <f t="shared" si="4"/>
        <v>Chair</v>
      </c>
      <c r="N70" t="str">
        <f t="shared" si="5"/>
        <v>hair</v>
      </c>
    </row>
    <row r="71" spans="1:14" x14ac:dyDescent="0.3">
      <c r="A71" s="8">
        <v>1070</v>
      </c>
      <c r="B71" s="8" t="s">
        <v>52</v>
      </c>
      <c r="C71" s="8" t="s">
        <v>43</v>
      </c>
      <c r="D71" s="8" t="s">
        <v>13</v>
      </c>
      <c r="E71" s="8" t="s">
        <v>36</v>
      </c>
      <c r="F71" s="8">
        <v>10</v>
      </c>
      <c r="G71" s="8">
        <v>233</v>
      </c>
      <c r="H71" s="8">
        <v>7</v>
      </c>
      <c r="I71" s="9">
        <v>46076</v>
      </c>
      <c r="J71" s="9">
        <v>46077</v>
      </c>
      <c r="K71" s="8" t="s">
        <v>29</v>
      </c>
      <c r="L71" t="str">
        <f t="shared" si="3"/>
        <v>Kom1070</v>
      </c>
      <c r="M71" t="str">
        <f t="shared" si="4"/>
        <v>Staer</v>
      </c>
      <c r="N71" t="str">
        <f t="shared" si="5"/>
        <v>tapl</v>
      </c>
    </row>
    <row r="72" spans="1:14" x14ac:dyDescent="0.3">
      <c r="A72" s="8">
        <v>1071</v>
      </c>
      <c r="B72" s="8" t="s">
        <v>59</v>
      </c>
      <c r="C72" s="8" t="s">
        <v>22</v>
      </c>
      <c r="D72" s="8" t="s">
        <v>34</v>
      </c>
      <c r="E72" s="8" t="s">
        <v>61</v>
      </c>
      <c r="F72" s="8">
        <v>18</v>
      </c>
      <c r="G72" s="8">
        <v>32197</v>
      </c>
      <c r="H72" s="8">
        <v>5</v>
      </c>
      <c r="I72" s="9">
        <v>46129</v>
      </c>
      <c r="J72" s="9">
        <v>46137</v>
      </c>
      <c r="K72" s="8" t="s">
        <v>20</v>
      </c>
      <c r="L72" t="str">
        <f t="shared" si="3"/>
        <v>Ani1071</v>
      </c>
      <c r="M72" t="str">
        <f t="shared" si="4"/>
        <v>Mouse</v>
      </c>
      <c r="N72" t="str">
        <f t="shared" si="5"/>
        <v>ouse</v>
      </c>
    </row>
    <row r="73" spans="1:14" x14ac:dyDescent="0.3">
      <c r="A73" s="8">
        <v>1072</v>
      </c>
      <c r="B73" s="8" t="s">
        <v>16</v>
      </c>
      <c r="C73" s="8" t="s">
        <v>25</v>
      </c>
      <c r="D73" s="8" t="s">
        <v>34</v>
      </c>
      <c r="E73" s="8" t="s">
        <v>61</v>
      </c>
      <c r="F73" s="8">
        <v>20</v>
      </c>
      <c r="G73" s="8">
        <v>58779</v>
      </c>
      <c r="H73" s="8">
        <v>0</v>
      </c>
      <c r="I73" s="9">
        <v>46035</v>
      </c>
      <c r="J73" s="9">
        <v>46036</v>
      </c>
      <c r="K73" s="8" t="s">
        <v>24</v>
      </c>
      <c r="L73" t="str">
        <f t="shared" si="3"/>
        <v>Poo1072</v>
      </c>
      <c r="M73" t="str">
        <f t="shared" si="4"/>
        <v>Mouse</v>
      </c>
      <c r="N73" t="str">
        <f t="shared" si="5"/>
        <v>ouse</v>
      </c>
    </row>
    <row r="74" spans="1:14" x14ac:dyDescent="0.3">
      <c r="A74" s="8">
        <v>1073</v>
      </c>
      <c r="B74" s="8" t="s">
        <v>58</v>
      </c>
      <c r="C74" s="8" t="s">
        <v>17</v>
      </c>
      <c r="D74" s="8" t="s">
        <v>18</v>
      </c>
      <c r="E74" s="8" t="s">
        <v>56</v>
      </c>
      <c r="F74" s="8">
        <v>4</v>
      </c>
      <c r="G74" s="8">
        <v>2453</v>
      </c>
      <c r="H74" s="8">
        <v>7</v>
      </c>
      <c r="I74" s="9">
        <v>46126</v>
      </c>
      <c r="J74" s="9">
        <v>46129</v>
      </c>
      <c r="K74" s="8" t="s">
        <v>51</v>
      </c>
      <c r="L74" t="str">
        <f t="shared" si="3"/>
        <v>Roh1073</v>
      </c>
      <c r="M74" t="str">
        <f t="shared" si="4"/>
        <v>Cabet</v>
      </c>
      <c r="N74" t="str">
        <f t="shared" si="5"/>
        <v>abin</v>
      </c>
    </row>
    <row r="75" spans="1:14" x14ac:dyDescent="0.3">
      <c r="A75" s="8">
        <v>1074</v>
      </c>
      <c r="B75" s="8" t="s">
        <v>26</v>
      </c>
      <c r="C75" s="8" t="s">
        <v>31</v>
      </c>
      <c r="D75" s="8" t="s">
        <v>13</v>
      </c>
      <c r="E75" s="8" t="s">
        <v>50</v>
      </c>
      <c r="F75" s="8">
        <v>11</v>
      </c>
      <c r="G75" s="8">
        <v>390</v>
      </c>
      <c r="H75" s="8">
        <v>15</v>
      </c>
      <c r="I75" s="9">
        <v>46114</v>
      </c>
      <c r="J75" s="9">
        <v>46123</v>
      </c>
      <c r="K75" s="8" t="s">
        <v>29</v>
      </c>
      <c r="L75" t="str">
        <f t="shared" si="3"/>
        <v>Vik1074</v>
      </c>
      <c r="M75" t="str">
        <f t="shared" si="4"/>
        <v>Marer</v>
      </c>
      <c r="N75" t="str">
        <f t="shared" si="5"/>
        <v>arke</v>
      </c>
    </row>
    <row r="76" spans="1:14" x14ac:dyDescent="0.3">
      <c r="A76" s="8">
        <v>1075</v>
      </c>
      <c r="B76" s="8" t="s">
        <v>42</v>
      </c>
      <c r="C76" s="8" t="s">
        <v>43</v>
      </c>
      <c r="D76" s="8" t="s">
        <v>34</v>
      </c>
      <c r="E76" s="8" t="s">
        <v>61</v>
      </c>
      <c r="F76" s="8">
        <v>4</v>
      </c>
      <c r="G76" s="8">
        <v>64773</v>
      </c>
      <c r="H76" s="8">
        <v>10</v>
      </c>
      <c r="I76" s="9">
        <v>46185</v>
      </c>
      <c r="J76" s="9">
        <v>46186</v>
      </c>
      <c r="K76" s="8" t="s">
        <v>51</v>
      </c>
      <c r="L76" t="str">
        <f t="shared" si="3"/>
        <v>Nis1075</v>
      </c>
      <c r="M76" t="str">
        <f t="shared" si="4"/>
        <v>Mouse</v>
      </c>
      <c r="N76" t="str">
        <f t="shared" si="5"/>
        <v>ouse</v>
      </c>
    </row>
    <row r="77" spans="1:14" x14ac:dyDescent="0.3">
      <c r="A77" s="8">
        <v>1076</v>
      </c>
      <c r="B77" s="8" t="s">
        <v>29</v>
      </c>
      <c r="C77" s="8" t="s">
        <v>17</v>
      </c>
      <c r="D77" s="8" t="s">
        <v>34</v>
      </c>
      <c r="E77" s="8" t="s">
        <v>35</v>
      </c>
      <c r="F77" s="8">
        <v>19</v>
      </c>
      <c r="G77" s="8">
        <v>26714</v>
      </c>
      <c r="H77" s="8">
        <v>5</v>
      </c>
      <c r="I77" s="9">
        <v>46045</v>
      </c>
      <c r="J77" s="9">
        <v>46055</v>
      </c>
      <c r="K77" s="8" t="s">
        <v>29</v>
      </c>
      <c r="L77" t="str">
        <f t="shared" si="3"/>
        <v>Pri1076</v>
      </c>
      <c r="M77" t="str">
        <f t="shared" si="4"/>
        <v>Prier</v>
      </c>
      <c r="N77" t="str">
        <f t="shared" si="5"/>
        <v>rint</v>
      </c>
    </row>
    <row r="78" spans="1:14" x14ac:dyDescent="0.3">
      <c r="A78" s="8">
        <v>1077</v>
      </c>
      <c r="B78" s="8" t="s">
        <v>55</v>
      </c>
      <c r="C78" s="8" t="s">
        <v>25</v>
      </c>
      <c r="D78" s="8" t="s">
        <v>13</v>
      </c>
      <c r="E78" s="8" t="s">
        <v>14</v>
      </c>
      <c r="F78" s="8">
        <v>1</v>
      </c>
      <c r="G78" s="8">
        <v>123</v>
      </c>
      <c r="H78" s="8">
        <v>10</v>
      </c>
      <c r="I78" s="9">
        <v>46113</v>
      </c>
      <c r="J78" s="9">
        <v>46121</v>
      </c>
      <c r="K78" s="8" t="s">
        <v>51</v>
      </c>
      <c r="L78" t="str">
        <f t="shared" si="3"/>
        <v>Sne1077</v>
      </c>
      <c r="M78" t="str">
        <f t="shared" si="4"/>
        <v>Notok</v>
      </c>
      <c r="N78" t="str">
        <f t="shared" si="5"/>
        <v>oteb</v>
      </c>
    </row>
    <row r="79" spans="1:14" x14ac:dyDescent="0.3">
      <c r="A79" s="8">
        <v>1078</v>
      </c>
      <c r="B79" s="8" t="s">
        <v>52</v>
      </c>
      <c r="C79" s="8" t="s">
        <v>17</v>
      </c>
      <c r="D79" s="8" t="s">
        <v>34</v>
      </c>
      <c r="E79" s="8" t="s">
        <v>39</v>
      </c>
      <c r="F79" s="8">
        <v>11</v>
      </c>
      <c r="G79" s="8">
        <v>24278</v>
      </c>
      <c r="H79" s="8">
        <v>12</v>
      </c>
      <c r="I79" s="9">
        <v>46084</v>
      </c>
      <c r="J79" s="9">
        <v>46090</v>
      </c>
      <c r="K79" s="8" t="s">
        <v>29</v>
      </c>
      <c r="L79" t="str">
        <f t="shared" si="3"/>
        <v>Kom1078</v>
      </c>
      <c r="M79" t="str">
        <f t="shared" si="4"/>
        <v>Keyrd</v>
      </c>
      <c r="N79" t="str">
        <f t="shared" si="5"/>
        <v>eybo</v>
      </c>
    </row>
    <row r="80" spans="1:14" x14ac:dyDescent="0.3">
      <c r="A80" s="8">
        <v>1079</v>
      </c>
      <c r="B80" s="8" t="s">
        <v>26</v>
      </c>
      <c r="C80" s="8" t="s">
        <v>38</v>
      </c>
      <c r="D80" s="8" t="s">
        <v>34</v>
      </c>
      <c r="E80" s="8" t="s">
        <v>41</v>
      </c>
      <c r="F80" s="8">
        <v>19</v>
      </c>
      <c r="G80" s="8">
        <v>48956</v>
      </c>
      <c r="H80" s="8">
        <v>12</v>
      </c>
      <c r="I80" s="9">
        <v>46170</v>
      </c>
      <c r="J80" s="9">
        <v>46177</v>
      </c>
      <c r="K80" s="8" t="s">
        <v>51</v>
      </c>
      <c r="L80" t="str">
        <f t="shared" si="3"/>
        <v>Vik1079</v>
      </c>
      <c r="M80" t="str">
        <f t="shared" si="4"/>
        <v>Heaet</v>
      </c>
      <c r="N80" t="str">
        <f t="shared" si="5"/>
        <v>eads</v>
      </c>
    </row>
    <row r="81" spans="1:14" x14ac:dyDescent="0.3">
      <c r="A81" s="8">
        <v>1080</v>
      </c>
      <c r="B81" s="8" t="s">
        <v>21</v>
      </c>
      <c r="C81" s="8" t="s">
        <v>22</v>
      </c>
      <c r="D81" s="8" t="s">
        <v>34</v>
      </c>
      <c r="E81" s="8" t="s">
        <v>41</v>
      </c>
      <c r="F81" s="8">
        <v>12</v>
      </c>
      <c r="G81" s="8">
        <v>54161</v>
      </c>
      <c r="H81" s="8">
        <v>15</v>
      </c>
      <c r="I81" s="9">
        <v>46133</v>
      </c>
      <c r="J81" s="9">
        <v>46143</v>
      </c>
      <c r="K81" s="8" t="s">
        <v>24</v>
      </c>
      <c r="L81" t="str">
        <f t="shared" si="3"/>
        <v>Mee1080</v>
      </c>
      <c r="M81" t="str">
        <f t="shared" si="4"/>
        <v>Heaet</v>
      </c>
      <c r="N81" t="str">
        <f t="shared" si="5"/>
        <v>eads</v>
      </c>
    </row>
    <row r="82" spans="1:14" x14ac:dyDescent="0.3">
      <c r="A82" s="8">
        <v>1081</v>
      </c>
      <c r="B82" s="8" t="s">
        <v>47</v>
      </c>
      <c r="C82" s="8" t="s">
        <v>12</v>
      </c>
      <c r="D82" s="8" t="s">
        <v>34</v>
      </c>
      <c r="E82" s="8" t="s">
        <v>35</v>
      </c>
      <c r="F82" s="8">
        <v>15</v>
      </c>
      <c r="G82" s="8">
        <v>59912</v>
      </c>
      <c r="H82" s="8">
        <v>7</v>
      </c>
      <c r="I82" s="9">
        <v>46058</v>
      </c>
      <c r="J82" s="9">
        <v>46060</v>
      </c>
      <c r="K82" s="8" t="s">
        <v>51</v>
      </c>
      <c r="L82" t="str">
        <f t="shared" si="3"/>
        <v>Yas1081</v>
      </c>
      <c r="M82" t="str">
        <f t="shared" si="4"/>
        <v>Prier</v>
      </c>
      <c r="N82" t="str">
        <f t="shared" si="5"/>
        <v>rint</v>
      </c>
    </row>
    <row r="83" spans="1:14" x14ac:dyDescent="0.3">
      <c r="A83" s="8">
        <v>1082</v>
      </c>
      <c r="B83" s="8" t="s">
        <v>21</v>
      </c>
      <c r="C83" s="8" t="s">
        <v>12</v>
      </c>
      <c r="D83" s="8" t="s">
        <v>13</v>
      </c>
      <c r="E83" s="8" t="s">
        <v>14</v>
      </c>
      <c r="F83" s="8">
        <v>7</v>
      </c>
      <c r="G83" s="8">
        <v>133</v>
      </c>
      <c r="H83" s="8">
        <v>10</v>
      </c>
      <c r="I83" s="9">
        <v>46075</v>
      </c>
      <c r="J83" s="9">
        <v>46085</v>
      </c>
      <c r="K83" s="8" t="s">
        <v>51</v>
      </c>
      <c r="L83" t="str">
        <f t="shared" si="3"/>
        <v>Mee1082</v>
      </c>
      <c r="M83" t="str">
        <f t="shared" si="4"/>
        <v>Notok</v>
      </c>
      <c r="N83" t="str">
        <f t="shared" si="5"/>
        <v>oteb</v>
      </c>
    </row>
    <row r="84" spans="1:14" x14ac:dyDescent="0.3">
      <c r="A84" s="8">
        <v>1083</v>
      </c>
      <c r="B84" s="8" t="s">
        <v>55</v>
      </c>
      <c r="C84" s="8" t="s">
        <v>33</v>
      </c>
      <c r="D84" s="8" t="s">
        <v>13</v>
      </c>
      <c r="E84" s="8" t="s">
        <v>53</v>
      </c>
      <c r="F84" s="8">
        <v>4</v>
      </c>
      <c r="G84" s="8">
        <v>397</v>
      </c>
      <c r="H84" s="8">
        <v>7</v>
      </c>
      <c r="I84" s="9">
        <v>46185</v>
      </c>
      <c r="J84" s="9">
        <v>46193</v>
      </c>
      <c r="K84" s="8" t="s">
        <v>15</v>
      </c>
      <c r="L84" t="str">
        <f t="shared" si="3"/>
        <v>Sne1083</v>
      </c>
      <c r="M84" t="str">
        <f t="shared" si="4"/>
        <v>Diary</v>
      </c>
      <c r="N84" t="str">
        <f t="shared" si="5"/>
        <v>iary</v>
      </c>
    </row>
    <row r="85" spans="1:14" x14ac:dyDescent="0.3">
      <c r="A85" s="8">
        <v>1084</v>
      </c>
      <c r="B85" s="8" t="s">
        <v>49</v>
      </c>
      <c r="C85" s="8" t="s">
        <v>31</v>
      </c>
      <c r="D85" s="8" t="s">
        <v>18</v>
      </c>
      <c r="E85" s="8" t="s">
        <v>28</v>
      </c>
      <c r="F85" s="8">
        <v>4</v>
      </c>
      <c r="G85" s="8">
        <v>6901</v>
      </c>
      <c r="H85" s="8">
        <v>10</v>
      </c>
      <c r="I85" s="9">
        <v>46047</v>
      </c>
      <c r="J85" s="9">
        <v>46057</v>
      </c>
      <c r="K85" s="8" t="s">
        <v>20</v>
      </c>
      <c r="L85" t="str">
        <f t="shared" si="3"/>
        <v>Aja1084</v>
      </c>
      <c r="M85" t="str">
        <f t="shared" si="4"/>
        <v>Chair</v>
      </c>
      <c r="N85" t="str">
        <f t="shared" si="5"/>
        <v>hair</v>
      </c>
    </row>
    <row r="86" spans="1:14" x14ac:dyDescent="0.3">
      <c r="A86" s="8">
        <v>1085</v>
      </c>
      <c r="B86" s="8" t="s">
        <v>32</v>
      </c>
      <c r="C86" s="8" t="s">
        <v>38</v>
      </c>
      <c r="D86" s="8" t="s">
        <v>34</v>
      </c>
      <c r="E86" s="8" t="s">
        <v>60</v>
      </c>
      <c r="F86" s="8">
        <v>19</v>
      </c>
      <c r="G86" s="8">
        <v>45307</v>
      </c>
      <c r="H86" s="8">
        <v>12</v>
      </c>
      <c r="I86" s="9">
        <v>46146</v>
      </c>
      <c r="J86" s="9">
        <v>46150</v>
      </c>
      <c r="K86" s="8" t="s">
        <v>24</v>
      </c>
      <c r="L86" t="str">
        <f t="shared" si="3"/>
        <v>Ash1085</v>
      </c>
      <c r="M86" t="str">
        <f t="shared" si="4"/>
        <v>Lapop</v>
      </c>
      <c r="N86" t="str">
        <f t="shared" si="5"/>
        <v>apto</v>
      </c>
    </row>
    <row r="87" spans="1:14" x14ac:dyDescent="0.3">
      <c r="A87" s="8">
        <v>1086</v>
      </c>
      <c r="B87" s="8" t="s">
        <v>32</v>
      </c>
      <c r="C87" s="8" t="s">
        <v>12</v>
      </c>
      <c r="D87" s="8" t="s">
        <v>13</v>
      </c>
      <c r="E87" s="8" t="s">
        <v>53</v>
      </c>
      <c r="F87" s="8">
        <v>15</v>
      </c>
      <c r="G87" s="8">
        <v>40</v>
      </c>
      <c r="H87" s="8">
        <v>10</v>
      </c>
      <c r="I87" s="9">
        <v>46045</v>
      </c>
      <c r="J87" s="9">
        <v>46049</v>
      </c>
      <c r="K87" s="8" t="s">
        <v>24</v>
      </c>
      <c r="L87" t="str">
        <f t="shared" si="3"/>
        <v>Ash1086</v>
      </c>
      <c r="M87" t="str">
        <f t="shared" si="4"/>
        <v>Diary</v>
      </c>
      <c r="N87" t="str">
        <f t="shared" si="5"/>
        <v>iary</v>
      </c>
    </row>
    <row r="88" spans="1:14" x14ac:dyDescent="0.3">
      <c r="A88" s="8">
        <v>1087</v>
      </c>
      <c r="B88" s="8" t="s">
        <v>11</v>
      </c>
      <c r="C88" s="8" t="s">
        <v>31</v>
      </c>
      <c r="D88" s="8" t="s">
        <v>13</v>
      </c>
      <c r="E88" s="8" t="s">
        <v>37</v>
      </c>
      <c r="F88" s="8">
        <v>13</v>
      </c>
      <c r="G88" s="8">
        <v>387</v>
      </c>
      <c r="H88" s="8">
        <v>7</v>
      </c>
      <c r="I88" s="9">
        <v>46171</v>
      </c>
      <c r="J88" s="9">
        <v>46176</v>
      </c>
      <c r="K88" s="8" t="s">
        <v>24</v>
      </c>
      <c r="L88" t="str">
        <f t="shared" si="3"/>
        <v>Rit1087</v>
      </c>
      <c r="M88" t="str">
        <f t="shared" si="4"/>
        <v>Penck</v>
      </c>
      <c r="N88" t="str">
        <f t="shared" si="5"/>
        <v>en P</v>
      </c>
    </row>
    <row r="89" spans="1:14" x14ac:dyDescent="0.3">
      <c r="A89" s="8">
        <v>1088</v>
      </c>
      <c r="B89" s="8" t="s">
        <v>40</v>
      </c>
      <c r="C89" s="8" t="s">
        <v>33</v>
      </c>
      <c r="D89" s="8" t="s">
        <v>34</v>
      </c>
      <c r="E89" s="8" t="s">
        <v>41</v>
      </c>
      <c r="F89" s="8">
        <v>20</v>
      </c>
      <c r="G89" s="8">
        <v>41165</v>
      </c>
      <c r="H89" s="8">
        <v>0</v>
      </c>
      <c r="I89" s="9">
        <v>46068</v>
      </c>
      <c r="J89" s="9">
        <v>46069</v>
      </c>
      <c r="K89" s="8" t="s">
        <v>20</v>
      </c>
      <c r="L89" t="str">
        <f t="shared" si="3"/>
        <v>Dee1088</v>
      </c>
      <c r="M89" t="str">
        <f t="shared" si="4"/>
        <v>Heaet</v>
      </c>
      <c r="N89" t="str">
        <f t="shared" si="5"/>
        <v>eads</v>
      </c>
    </row>
    <row r="90" spans="1:14" x14ac:dyDescent="0.3">
      <c r="A90" s="8">
        <v>1089</v>
      </c>
      <c r="B90" s="8" t="s">
        <v>46</v>
      </c>
      <c r="C90" s="8" t="s">
        <v>12</v>
      </c>
      <c r="D90" s="8" t="s">
        <v>34</v>
      </c>
      <c r="E90" s="8" t="s">
        <v>35</v>
      </c>
      <c r="F90" s="8">
        <v>10</v>
      </c>
      <c r="G90" s="8">
        <v>17041</v>
      </c>
      <c r="H90" s="8">
        <v>2</v>
      </c>
      <c r="I90" s="9">
        <v>46066</v>
      </c>
      <c r="J90" s="9">
        <v>46071</v>
      </c>
      <c r="K90" s="8" t="s">
        <v>24</v>
      </c>
      <c r="L90" t="str">
        <f t="shared" si="3"/>
        <v>Kir1089</v>
      </c>
      <c r="M90" t="str">
        <f t="shared" si="4"/>
        <v>Prier</v>
      </c>
      <c r="N90" t="str">
        <f t="shared" si="5"/>
        <v>rint</v>
      </c>
    </row>
    <row r="91" spans="1:14" x14ac:dyDescent="0.3">
      <c r="A91" s="8">
        <v>1090</v>
      </c>
      <c r="B91" s="8" t="s">
        <v>49</v>
      </c>
      <c r="C91" s="8" t="s">
        <v>31</v>
      </c>
      <c r="D91" s="8" t="s">
        <v>34</v>
      </c>
      <c r="E91" s="8" t="s">
        <v>45</v>
      </c>
      <c r="F91" s="8">
        <v>19</v>
      </c>
      <c r="G91" s="8">
        <v>66139</v>
      </c>
      <c r="H91" s="8">
        <v>5</v>
      </c>
      <c r="I91" s="9">
        <v>46088</v>
      </c>
      <c r="J91" s="9">
        <v>46095</v>
      </c>
      <c r="K91" s="8" t="s">
        <v>24</v>
      </c>
      <c r="L91" t="str">
        <f t="shared" si="3"/>
        <v>Aja1090</v>
      </c>
      <c r="M91" t="str">
        <f t="shared" si="4"/>
        <v>Monor</v>
      </c>
      <c r="N91" t="str">
        <f t="shared" si="5"/>
        <v>onit</v>
      </c>
    </row>
    <row r="92" spans="1:14" x14ac:dyDescent="0.3">
      <c r="A92" s="8">
        <v>1091</v>
      </c>
      <c r="B92" s="8" t="s">
        <v>55</v>
      </c>
      <c r="C92" s="8" t="s">
        <v>17</v>
      </c>
      <c r="D92" s="8" t="s">
        <v>13</v>
      </c>
      <c r="E92" s="8" t="s">
        <v>53</v>
      </c>
      <c r="F92" s="8">
        <v>2</v>
      </c>
      <c r="G92" s="8">
        <v>305</v>
      </c>
      <c r="H92" s="8">
        <v>0</v>
      </c>
      <c r="I92" s="9">
        <v>46136</v>
      </c>
      <c r="J92" s="9">
        <v>46144</v>
      </c>
      <c r="K92" s="8" t="s">
        <v>15</v>
      </c>
      <c r="L92" t="str">
        <f t="shared" si="3"/>
        <v>Sne1091</v>
      </c>
      <c r="M92" t="str">
        <f t="shared" si="4"/>
        <v>Diary</v>
      </c>
      <c r="N92" t="str">
        <f t="shared" si="5"/>
        <v>iary</v>
      </c>
    </row>
    <row r="93" spans="1:14" x14ac:dyDescent="0.3">
      <c r="A93" s="8">
        <v>1092</v>
      </c>
      <c r="B93" s="8" t="s">
        <v>21</v>
      </c>
      <c r="C93" s="8" t="s">
        <v>22</v>
      </c>
      <c r="D93" s="8" t="s">
        <v>34</v>
      </c>
      <c r="E93" s="8" t="s">
        <v>41</v>
      </c>
      <c r="F93" s="8">
        <v>9</v>
      </c>
      <c r="G93" s="8">
        <v>23438</v>
      </c>
      <c r="H93" s="8">
        <v>2</v>
      </c>
      <c r="I93" s="9">
        <v>46049</v>
      </c>
      <c r="J93" s="9">
        <v>46055</v>
      </c>
      <c r="K93" s="8" t="s">
        <v>29</v>
      </c>
      <c r="L93" t="str">
        <f t="shared" si="3"/>
        <v>Mee1092</v>
      </c>
      <c r="M93" t="str">
        <f t="shared" si="4"/>
        <v>Heaet</v>
      </c>
      <c r="N93" t="str">
        <f t="shared" si="5"/>
        <v>eads</v>
      </c>
    </row>
    <row r="94" spans="1:14" x14ac:dyDescent="0.3">
      <c r="A94" s="8">
        <v>1093</v>
      </c>
      <c r="B94" s="8" t="s">
        <v>47</v>
      </c>
      <c r="C94" s="8" t="s">
        <v>25</v>
      </c>
      <c r="D94" s="8" t="s">
        <v>18</v>
      </c>
      <c r="E94" s="8" t="s">
        <v>23</v>
      </c>
      <c r="F94" s="8">
        <v>6</v>
      </c>
      <c r="G94" s="8">
        <v>8224</v>
      </c>
      <c r="H94" s="8">
        <v>15</v>
      </c>
      <c r="I94" s="9">
        <v>46175</v>
      </c>
      <c r="J94" s="9">
        <v>46185</v>
      </c>
      <c r="K94" s="8" t="s">
        <v>51</v>
      </c>
      <c r="L94" t="str">
        <f t="shared" si="3"/>
        <v>Yas1093</v>
      </c>
      <c r="M94" t="str">
        <f t="shared" si="4"/>
        <v>Table</v>
      </c>
      <c r="N94" t="str">
        <f t="shared" si="5"/>
        <v>able</v>
      </c>
    </row>
    <row r="95" spans="1:14" x14ac:dyDescent="0.3">
      <c r="A95" s="8">
        <v>1094</v>
      </c>
      <c r="B95" s="8" t="s">
        <v>47</v>
      </c>
      <c r="C95" s="8" t="s">
        <v>43</v>
      </c>
      <c r="D95" s="8" t="s">
        <v>34</v>
      </c>
      <c r="E95" s="8" t="s">
        <v>61</v>
      </c>
      <c r="F95" s="8">
        <v>4</v>
      </c>
      <c r="G95" s="8">
        <v>7073</v>
      </c>
      <c r="H95" s="8">
        <v>0</v>
      </c>
      <c r="I95" s="9">
        <v>46101</v>
      </c>
      <c r="J95" s="9">
        <v>46105</v>
      </c>
      <c r="K95" s="8" t="s">
        <v>29</v>
      </c>
      <c r="L95" t="str">
        <f t="shared" si="3"/>
        <v>Yas1094</v>
      </c>
      <c r="M95" t="str">
        <f t="shared" si="4"/>
        <v>Mouse</v>
      </c>
      <c r="N95" t="str">
        <f t="shared" si="5"/>
        <v>ouse</v>
      </c>
    </row>
    <row r="96" spans="1:14" x14ac:dyDescent="0.3">
      <c r="A96" s="8">
        <v>1095</v>
      </c>
      <c r="B96" s="8" t="s">
        <v>47</v>
      </c>
      <c r="C96" s="8" t="s">
        <v>25</v>
      </c>
      <c r="D96" s="8" t="s">
        <v>34</v>
      </c>
      <c r="E96" s="8" t="s">
        <v>41</v>
      </c>
      <c r="F96" s="8">
        <v>18</v>
      </c>
      <c r="G96" s="8">
        <v>587</v>
      </c>
      <c r="H96" s="8">
        <v>2</v>
      </c>
      <c r="I96" s="9">
        <v>46167</v>
      </c>
      <c r="J96" s="9">
        <v>46171</v>
      </c>
      <c r="K96" s="8" t="s">
        <v>20</v>
      </c>
      <c r="L96" t="str">
        <f t="shared" si="3"/>
        <v>Yas1095</v>
      </c>
      <c r="M96" t="str">
        <f t="shared" si="4"/>
        <v>Heaet</v>
      </c>
      <c r="N96" t="str">
        <f t="shared" si="5"/>
        <v>eads</v>
      </c>
    </row>
    <row r="97" spans="1:14" x14ac:dyDescent="0.3">
      <c r="A97" s="8">
        <v>1096</v>
      </c>
      <c r="B97" s="8" t="s">
        <v>49</v>
      </c>
      <c r="C97" s="8" t="s">
        <v>17</v>
      </c>
      <c r="D97" s="8" t="s">
        <v>18</v>
      </c>
      <c r="E97" s="8" t="s">
        <v>23</v>
      </c>
      <c r="F97" s="8">
        <v>15</v>
      </c>
      <c r="G97" s="8">
        <v>14724</v>
      </c>
      <c r="H97" s="8">
        <v>15</v>
      </c>
      <c r="I97" s="9">
        <v>46054</v>
      </c>
      <c r="J97" s="9">
        <v>46061</v>
      </c>
      <c r="K97" s="8" t="s">
        <v>20</v>
      </c>
      <c r="L97" t="str">
        <f t="shared" si="3"/>
        <v>Aja1096</v>
      </c>
      <c r="M97" t="str">
        <f t="shared" si="4"/>
        <v>Table</v>
      </c>
      <c r="N97" t="str">
        <f t="shared" si="5"/>
        <v>able</v>
      </c>
    </row>
    <row r="98" spans="1:14" x14ac:dyDescent="0.3">
      <c r="A98" s="8">
        <v>1097</v>
      </c>
      <c r="B98" s="8" t="s">
        <v>52</v>
      </c>
      <c r="C98" s="8" t="s">
        <v>22</v>
      </c>
      <c r="D98" s="8" t="s">
        <v>34</v>
      </c>
      <c r="E98" s="8" t="s">
        <v>61</v>
      </c>
      <c r="F98" s="8">
        <v>10</v>
      </c>
      <c r="G98" s="8">
        <v>28980</v>
      </c>
      <c r="H98" s="8">
        <v>10</v>
      </c>
      <c r="I98" s="9">
        <v>46089</v>
      </c>
      <c r="J98" s="9">
        <v>46094</v>
      </c>
      <c r="K98" s="8" t="s">
        <v>24</v>
      </c>
      <c r="L98" t="str">
        <f t="shared" si="3"/>
        <v>Kom1097</v>
      </c>
      <c r="M98" t="str">
        <f t="shared" si="4"/>
        <v>Mouse</v>
      </c>
      <c r="N98" t="str">
        <f t="shared" si="5"/>
        <v>ouse</v>
      </c>
    </row>
    <row r="99" spans="1:14" x14ac:dyDescent="0.3">
      <c r="A99" s="8">
        <v>1098</v>
      </c>
      <c r="B99" s="8" t="s">
        <v>26</v>
      </c>
      <c r="C99" s="8" t="s">
        <v>25</v>
      </c>
      <c r="D99" s="8" t="s">
        <v>13</v>
      </c>
      <c r="E99" s="8" t="s">
        <v>53</v>
      </c>
      <c r="F99" s="8">
        <v>17</v>
      </c>
      <c r="G99" s="8">
        <v>345</v>
      </c>
      <c r="H99" s="8">
        <v>2</v>
      </c>
      <c r="I99" s="9">
        <v>46126</v>
      </c>
      <c r="J99" s="9">
        <v>46127</v>
      </c>
      <c r="K99" s="8" t="s">
        <v>51</v>
      </c>
      <c r="L99" t="str">
        <f t="shared" si="3"/>
        <v>Vik1098</v>
      </c>
      <c r="M99" t="str">
        <f t="shared" si="4"/>
        <v>Diary</v>
      </c>
      <c r="N99" t="str">
        <f t="shared" si="5"/>
        <v>iary</v>
      </c>
    </row>
    <row r="100" spans="1:14" x14ac:dyDescent="0.3">
      <c r="A100" s="8">
        <v>1099</v>
      </c>
      <c r="B100" s="8" t="s">
        <v>26</v>
      </c>
      <c r="C100" s="8" t="s">
        <v>31</v>
      </c>
      <c r="D100" s="8" t="s">
        <v>18</v>
      </c>
      <c r="E100" s="8" t="s">
        <v>19</v>
      </c>
      <c r="F100" s="8">
        <v>1</v>
      </c>
      <c r="G100" s="8">
        <v>5165</v>
      </c>
      <c r="H100" s="8">
        <v>2</v>
      </c>
      <c r="I100" s="9">
        <v>46058</v>
      </c>
      <c r="J100" s="9">
        <v>46060</v>
      </c>
      <c r="K100" s="8" t="s">
        <v>15</v>
      </c>
      <c r="L100" t="str">
        <f t="shared" si="3"/>
        <v>Vik1099</v>
      </c>
      <c r="M100" t="str">
        <f t="shared" si="4"/>
        <v>Dessk</v>
      </c>
      <c r="N100" t="str">
        <f t="shared" si="5"/>
        <v>esk</v>
      </c>
    </row>
    <row r="101" spans="1:14" x14ac:dyDescent="0.3">
      <c r="A101" s="8">
        <v>1100</v>
      </c>
      <c r="B101" s="8" t="s">
        <v>11</v>
      </c>
      <c r="C101" s="8" t="s">
        <v>31</v>
      </c>
      <c r="D101" s="8" t="s">
        <v>13</v>
      </c>
      <c r="E101" s="8" t="s">
        <v>14</v>
      </c>
      <c r="F101" s="8">
        <v>11</v>
      </c>
      <c r="G101" s="8">
        <v>296</v>
      </c>
      <c r="H101" s="8">
        <v>10</v>
      </c>
      <c r="I101" s="9">
        <v>46027</v>
      </c>
      <c r="J101" s="9">
        <v>46031</v>
      </c>
      <c r="K101" s="8" t="s">
        <v>51</v>
      </c>
      <c r="L101" t="str">
        <f t="shared" si="3"/>
        <v>Rit1100</v>
      </c>
      <c r="M101" t="str">
        <f t="shared" si="4"/>
        <v>Notok</v>
      </c>
      <c r="N101" t="str">
        <f t="shared" si="5"/>
        <v>oteb</v>
      </c>
    </row>
    <row r="102" spans="1:14" x14ac:dyDescent="0.3">
      <c r="A102" s="8">
        <v>1101</v>
      </c>
      <c r="B102" s="8" t="s">
        <v>27</v>
      </c>
      <c r="C102" s="8" t="s">
        <v>22</v>
      </c>
      <c r="D102" s="8" t="s">
        <v>34</v>
      </c>
      <c r="E102" s="8" t="s">
        <v>61</v>
      </c>
      <c r="F102" s="8">
        <v>9</v>
      </c>
      <c r="G102" s="8">
        <v>37361</v>
      </c>
      <c r="H102" s="8">
        <v>10</v>
      </c>
      <c r="I102" s="9">
        <v>46141</v>
      </c>
      <c r="J102" s="9">
        <v>46142</v>
      </c>
      <c r="K102" s="8" t="s">
        <v>24</v>
      </c>
      <c r="L102" t="str">
        <f t="shared" si="3"/>
        <v>Arj1101</v>
      </c>
      <c r="M102" t="str">
        <f t="shared" si="4"/>
        <v>Mouse</v>
      </c>
      <c r="N102" t="str">
        <f t="shared" si="5"/>
        <v>ouse</v>
      </c>
    </row>
    <row r="103" spans="1:14" x14ac:dyDescent="0.3">
      <c r="A103" s="8">
        <v>1102</v>
      </c>
      <c r="B103" s="8" t="s">
        <v>54</v>
      </c>
      <c r="C103" s="8" t="s">
        <v>25</v>
      </c>
      <c r="D103" s="8" t="s">
        <v>34</v>
      </c>
      <c r="E103" s="8" t="s">
        <v>45</v>
      </c>
      <c r="F103" s="8">
        <v>12</v>
      </c>
      <c r="G103" s="8">
        <v>63402</v>
      </c>
      <c r="H103" s="8">
        <v>7</v>
      </c>
      <c r="I103" s="9">
        <v>46106</v>
      </c>
      <c r="J103" s="9">
        <v>46113</v>
      </c>
      <c r="K103" s="8" t="s">
        <v>51</v>
      </c>
      <c r="L103" t="str">
        <f t="shared" si="3"/>
        <v>Man1102</v>
      </c>
      <c r="M103" t="str">
        <f t="shared" si="4"/>
        <v>Monor</v>
      </c>
      <c r="N103" t="str">
        <f t="shared" si="5"/>
        <v>onit</v>
      </c>
    </row>
    <row r="104" spans="1:14" x14ac:dyDescent="0.3">
      <c r="A104" s="8">
        <v>1103</v>
      </c>
      <c r="B104" s="8" t="s">
        <v>16</v>
      </c>
      <c r="C104" s="8" t="s">
        <v>12</v>
      </c>
      <c r="D104" s="8" t="s">
        <v>18</v>
      </c>
      <c r="E104" s="8" t="s">
        <v>23</v>
      </c>
      <c r="F104" s="8">
        <v>7</v>
      </c>
      <c r="G104" s="8">
        <v>11925</v>
      </c>
      <c r="H104" s="8">
        <v>5</v>
      </c>
      <c r="I104" s="9">
        <v>46040</v>
      </c>
      <c r="J104" s="9">
        <v>46041</v>
      </c>
      <c r="K104" s="8" t="s">
        <v>29</v>
      </c>
      <c r="L104" t="str">
        <f t="shared" si="3"/>
        <v>Poo1103</v>
      </c>
      <c r="M104" t="str">
        <f t="shared" si="4"/>
        <v>Table</v>
      </c>
      <c r="N104" t="str">
        <f t="shared" si="5"/>
        <v>able</v>
      </c>
    </row>
    <row r="105" spans="1:14" x14ac:dyDescent="0.3">
      <c r="A105" s="8">
        <v>1104</v>
      </c>
      <c r="B105" s="8" t="s">
        <v>16</v>
      </c>
      <c r="C105" s="8" t="s">
        <v>43</v>
      </c>
      <c r="D105" s="8" t="s">
        <v>18</v>
      </c>
      <c r="E105" s="8" t="s">
        <v>19</v>
      </c>
      <c r="F105" s="8">
        <v>10</v>
      </c>
      <c r="G105" s="8">
        <v>12848</v>
      </c>
      <c r="H105" s="8">
        <v>15</v>
      </c>
      <c r="I105" s="9">
        <v>46060</v>
      </c>
      <c r="J105" s="9">
        <v>46064</v>
      </c>
      <c r="K105" s="8" t="s">
        <v>29</v>
      </c>
      <c r="L105" t="str">
        <f t="shared" si="3"/>
        <v>Poo1104</v>
      </c>
      <c r="M105" t="str">
        <f t="shared" si="4"/>
        <v>Dessk</v>
      </c>
      <c r="N105" t="str">
        <f t="shared" si="5"/>
        <v>esk</v>
      </c>
    </row>
    <row r="106" spans="1:14" x14ac:dyDescent="0.3">
      <c r="A106" s="8">
        <v>1105</v>
      </c>
      <c r="B106" s="8" t="s">
        <v>59</v>
      </c>
      <c r="C106" s="8" t="s">
        <v>25</v>
      </c>
      <c r="D106" s="8" t="s">
        <v>13</v>
      </c>
      <c r="E106" s="8" t="s">
        <v>50</v>
      </c>
      <c r="F106" s="8">
        <v>2</v>
      </c>
      <c r="G106" s="8">
        <v>493</v>
      </c>
      <c r="H106" s="8">
        <v>12</v>
      </c>
      <c r="I106" s="9">
        <v>46057</v>
      </c>
      <c r="J106" s="9">
        <v>46066</v>
      </c>
      <c r="K106" s="8" t="s">
        <v>51</v>
      </c>
      <c r="L106" t="str">
        <f t="shared" si="3"/>
        <v>Ani1105</v>
      </c>
      <c r="M106" t="str">
        <f t="shared" si="4"/>
        <v>Marer</v>
      </c>
      <c r="N106" t="str">
        <f t="shared" si="5"/>
        <v>arke</v>
      </c>
    </row>
    <row r="107" spans="1:14" x14ac:dyDescent="0.3">
      <c r="A107" s="8">
        <v>1106</v>
      </c>
      <c r="B107" s="8" t="s">
        <v>27</v>
      </c>
      <c r="C107" s="8" t="s">
        <v>43</v>
      </c>
      <c r="D107" s="8" t="s">
        <v>18</v>
      </c>
      <c r="E107" s="8" t="s">
        <v>23</v>
      </c>
      <c r="F107" s="8">
        <v>20</v>
      </c>
      <c r="G107" s="8">
        <v>2141</v>
      </c>
      <c r="H107" s="8">
        <v>2</v>
      </c>
      <c r="I107" s="9">
        <v>46091</v>
      </c>
      <c r="J107" s="9">
        <v>46097</v>
      </c>
      <c r="K107" s="8" t="s">
        <v>29</v>
      </c>
      <c r="L107" t="str">
        <f t="shared" si="3"/>
        <v>Arj1106</v>
      </c>
      <c r="M107" t="str">
        <f t="shared" si="4"/>
        <v>Table</v>
      </c>
      <c r="N107" t="str">
        <f t="shared" si="5"/>
        <v>able</v>
      </c>
    </row>
    <row r="108" spans="1:14" x14ac:dyDescent="0.3">
      <c r="A108" s="8">
        <v>1107</v>
      </c>
      <c r="B108" s="8" t="s">
        <v>52</v>
      </c>
      <c r="C108" s="8" t="s">
        <v>17</v>
      </c>
      <c r="D108" s="8" t="s">
        <v>34</v>
      </c>
      <c r="E108" s="8" t="s">
        <v>60</v>
      </c>
      <c r="F108" s="8">
        <v>4</v>
      </c>
      <c r="G108" s="8">
        <v>14291</v>
      </c>
      <c r="H108" s="8">
        <v>2</v>
      </c>
      <c r="I108" s="9">
        <v>46076</v>
      </c>
      <c r="J108" s="9">
        <v>46078</v>
      </c>
      <c r="K108" s="8" t="s">
        <v>15</v>
      </c>
      <c r="L108" t="str">
        <f t="shared" si="3"/>
        <v>Kom1107</v>
      </c>
      <c r="M108" t="str">
        <f t="shared" si="4"/>
        <v>Lapop</v>
      </c>
      <c r="N108" t="str">
        <f t="shared" si="5"/>
        <v>apto</v>
      </c>
    </row>
    <row r="109" spans="1:14" x14ac:dyDescent="0.3">
      <c r="A109" s="8">
        <v>1108</v>
      </c>
      <c r="B109" s="8" t="s">
        <v>42</v>
      </c>
      <c r="C109" s="8" t="s">
        <v>33</v>
      </c>
      <c r="D109" s="8" t="s">
        <v>18</v>
      </c>
      <c r="E109" s="8" t="s">
        <v>28</v>
      </c>
      <c r="F109" s="8">
        <v>15</v>
      </c>
      <c r="G109" s="8">
        <v>13843</v>
      </c>
      <c r="H109" s="8">
        <v>7</v>
      </c>
      <c r="I109" s="9">
        <v>46119</v>
      </c>
      <c r="J109" s="9">
        <v>46127</v>
      </c>
      <c r="K109" s="8" t="s">
        <v>20</v>
      </c>
      <c r="L109" t="str">
        <f t="shared" si="3"/>
        <v>Nis1108</v>
      </c>
      <c r="M109" t="str">
        <f t="shared" si="4"/>
        <v>Chair</v>
      </c>
      <c r="N109" t="str">
        <f t="shared" si="5"/>
        <v>hair</v>
      </c>
    </row>
    <row r="110" spans="1:14" x14ac:dyDescent="0.3">
      <c r="A110" s="8">
        <v>1109</v>
      </c>
      <c r="B110" s="8" t="s">
        <v>21</v>
      </c>
      <c r="C110" s="8" t="s">
        <v>31</v>
      </c>
      <c r="D110" s="8" t="s">
        <v>18</v>
      </c>
      <c r="E110" s="8" t="s">
        <v>44</v>
      </c>
      <c r="F110" s="8">
        <v>19</v>
      </c>
      <c r="G110" s="8">
        <v>6512</v>
      </c>
      <c r="H110" s="8">
        <v>10</v>
      </c>
      <c r="I110" s="9">
        <v>46033</v>
      </c>
      <c r="J110" s="9">
        <v>46037</v>
      </c>
      <c r="K110" s="8" t="s">
        <v>20</v>
      </c>
      <c r="L110" t="str">
        <f t="shared" si="3"/>
        <v>Mee1109</v>
      </c>
      <c r="M110" t="str">
        <f t="shared" si="4"/>
        <v>Boolf</v>
      </c>
      <c r="N110" t="str">
        <f t="shared" si="5"/>
        <v>ooks</v>
      </c>
    </row>
    <row r="111" spans="1:14" x14ac:dyDescent="0.3">
      <c r="A111" s="8">
        <v>1110</v>
      </c>
      <c r="B111" s="8" t="s">
        <v>49</v>
      </c>
      <c r="C111" s="8" t="s">
        <v>38</v>
      </c>
      <c r="D111" s="8" t="s">
        <v>18</v>
      </c>
      <c r="E111" s="8" t="s">
        <v>23</v>
      </c>
      <c r="F111" s="8">
        <v>14</v>
      </c>
      <c r="G111" s="8">
        <v>6793</v>
      </c>
      <c r="H111" s="8">
        <v>7</v>
      </c>
      <c r="I111" s="9">
        <v>46077</v>
      </c>
      <c r="J111" s="9">
        <v>46082</v>
      </c>
      <c r="K111" s="8" t="s">
        <v>29</v>
      </c>
      <c r="L111" t="str">
        <f t="shared" si="3"/>
        <v>Aja1110</v>
      </c>
      <c r="M111" t="str">
        <f t="shared" si="4"/>
        <v>Table</v>
      </c>
      <c r="N111" t="str">
        <f t="shared" si="5"/>
        <v>able</v>
      </c>
    </row>
    <row r="112" spans="1:14" x14ac:dyDescent="0.3">
      <c r="A112" s="8">
        <v>1111</v>
      </c>
      <c r="B112" s="8" t="s">
        <v>47</v>
      </c>
      <c r="C112" s="8" t="s">
        <v>17</v>
      </c>
      <c r="D112" s="8" t="s">
        <v>34</v>
      </c>
      <c r="E112" s="8" t="s">
        <v>35</v>
      </c>
      <c r="F112" s="8">
        <v>5</v>
      </c>
      <c r="G112" s="8">
        <v>49945</v>
      </c>
      <c r="H112" s="8">
        <v>12</v>
      </c>
      <c r="I112" s="9">
        <v>46133</v>
      </c>
      <c r="J112" s="9">
        <v>46141</v>
      </c>
      <c r="K112" s="8" t="s">
        <v>29</v>
      </c>
      <c r="L112" t="str">
        <f t="shared" si="3"/>
        <v>Yas1111</v>
      </c>
      <c r="M112" t="str">
        <f t="shared" si="4"/>
        <v>Prier</v>
      </c>
      <c r="N112" t="str">
        <f t="shared" si="5"/>
        <v>rint</v>
      </c>
    </row>
    <row r="113" spans="1:14" x14ac:dyDescent="0.3">
      <c r="A113" s="8">
        <v>1112</v>
      </c>
      <c r="B113" s="8" t="s">
        <v>21</v>
      </c>
      <c r="C113" s="8" t="s">
        <v>43</v>
      </c>
      <c r="D113" s="8" t="s">
        <v>18</v>
      </c>
      <c r="E113" s="8" t="s">
        <v>44</v>
      </c>
      <c r="F113" s="8">
        <v>7</v>
      </c>
      <c r="G113" s="8">
        <v>1959</v>
      </c>
      <c r="H113" s="8">
        <v>15</v>
      </c>
      <c r="I113" s="9">
        <v>46090</v>
      </c>
      <c r="J113" s="9">
        <v>46100</v>
      </c>
      <c r="K113" s="8" t="s">
        <v>15</v>
      </c>
      <c r="L113" t="str">
        <f t="shared" si="3"/>
        <v>Mee1112</v>
      </c>
      <c r="M113" t="str">
        <f t="shared" si="4"/>
        <v>Boolf</v>
      </c>
      <c r="N113" t="str">
        <f t="shared" si="5"/>
        <v>ooks</v>
      </c>
    </row>
    <row r="114" spans="1:14" x14ac:dyDescent="0.3">
      <c r="A114" s="8">
        <v>1113</v>
      </c>
      <c r="B114" s="8" t="s">
        <v>26</v>
      </c>
      <c r="C114" s="8" t="s">
        <v>43</v>
      </c>
      <c r="D114" s="8" t="s">
        <v>18</v>
      </c>
      <c r="E114" s="8" t="s">
        <v>56</v>
      </c>
      <c r="F114" s="8">
        <v>13</v>
      </c>
      <c r="G114" s="8">
        <v>6719</v>
      </c>
      <c r="H114" s="8">
        <v>15</v>
      </c>
      <c r="I114" s="9">
        <v>46076</v>
      </c>
      <c r="J114" s="9">
        <v>46081</v>
      </c>
      <c r="K114" s="8" t="s">
        <v>24</v>
      </c>
      <c r="L114" t="str">
        <f t="shared" si="3"/>
        <v>Vik1113</v>
      </c>
      <c r="M114" t="str">
        <f t="shared" si="4"/>
        <v>Cabet</v>
      </c>
      <c r="N114" t="str">
        <f t="shared" si="5"/>
        <v>abin</v>
      </c>
    </row>
    <row r="115" spans="1:14" x14ac:dyDescent="0.3">
      <c r="A115" s="8">
        <v>1114</v>
      </c>
      <c r="B115" s="8" t="s">
        <v>16</v>
      </c>
      <c r="C115" s="8" t="s">
        <v>25</v>
      </c>
      <c r="D115" s="8" t="s">
        <v>13</v>
      </c>
      <c r="E115" s="8" t="s">
        <v>50</v>
      </c>
      <c r="F115" s="8">
        <v>13</v>
      </c>
      <c r="G115" s="8">
        <v>32</v>
      </c>
      <c r="H115" s="8">
        <v>15</v>
      </c>
      <c r="I115" s="9">
        <v>46066</v>
      </c>
      <c r="J115" s="9">
        <v>46069</v>
      </c>
      <c r="K115" s="8" t="s">
        <v>15</v>
      </c>
      <c r="L115" t="str">
        <f t="shared" si="3"/>
        <v>Poo1114</v>
      </c>
      <c r="M115" t="str">
        <f t="shared" si="4"/>
        <v>Marer</v>
      </c>
      <c r="N115" t="str">
        <f t="shared" si="5"/>
        <v>arke</v>
      </c>
    </row>
    <row r="116" spans="1:14" x14ac:dyDescent="0.3">
      <c r="A116" s="8">
        <v>1115</v>
      </c>
      <c r="B116" s="8" t="s">
        <v>59</v>
      </c>
      <c r="C116" s="8" t="s">
        <v>43</v>
      </c>
      <c r="D116" s="8" t="s">
        <v>13</v>
      </c>
      <c r="E116" s="8" t="s">
        <v>50</v>
      </c>
      <c r="F116" s="8">
        <v>9</v>
      </c>
      <c r="G116" s="8">
        <v>303</v>
      </c>
      <c r="H116" s="8">
        <v>10</v>
      </c>
      <c r="I116" s="9">
        <v>46149</v>
      </c>
      <c r="J116" s="9">
        <v>46157</v>
      </c>
      <c r="K116" s="8" t="s">
        <v>29</v>
      </c>
      <c r="L116" t="str">
        <f t="shared" si="3"/>
        <v>Ani1115</v>
      </c>
      <c r="M116" t="str">
        <f t="shared" si="4"/>
        <v>Marer</v>
      </c>
      <c r="N116" t="str">
        <f t="shared" si="5"/>
        <v>arke</v>
      </c>
    </row>
    <row r="117" spans="1:14" x14ac:dyDescent="0.3">
      <c r="A117" s="8">
        <v>1116</v>
      </c>
      <c r="B117" s="8" t="s">
        <v>16</v>
      </c>
      <c r="C117" s="8" t="s">
        <v>25</v>
      </c>
      <c r="D117" s="8" t="s">
        <v>18</v>
      </c>
      <c r="E117" s="8" t="s">
        <v>56</v>
      </c>
      <c r="F117" s="8">
        <v>2</v>
      </c>
      <c r="G117" s="8">
        <v>12692</v>
      </c>
      <c r="H117" s="8">
        <v>15</v>
      </c>
      <c r="I117" s="9">
        <v>46049</v>
      </c>
      <c r="J117" s="9">
        <v>46051</v>
      </c>
      <c r="K117" s="8" t="s">
        <v>15</v>
      </c>
      <c r="L117" t="str">
        <f t="shared" si="3"/>
        <v>Poo1116</v>
      </c>
      <c r="M117" t="str">
        <f t="shared" si="4"/>
        <v>Cabet</v>
      </c>
      <c r="N117" t="str">
        <f t="shared" si="5"/>
        <v>abin</v>
      </c>
    </row>
    <row r="118" spans="1:14" x14ac:dyDescent="0.3">
      <c r="A118" s="8">
        <v>1117</v>
      </c>
      <c r="B118" s="8" t="s">
        <v>55</v>
      </c>
      <c r="C118" s="8" t="s">
        <v>43</v>
      </c>
      <c r="D118" s="8" t="s">
        <v>34</v>
      </c>
      <c r="E118" s="8" t="s">
        <v>39</v>
      </c>
      <c r="F118" s="8">
        <v>16</v>
      </c>
      <c r="G118" s="8">
        <v>33162</v>
      </c>
      <c r="H118" s="8">
        <v>7</v>
      </c>
      <c r="I118" s="9">
        <v>46147</v>
      </c>
      <c r="J118" s="9">
        <v>46155</v>
      </c>
      <c r="K118" s="8" t="s">
        <v>29</v>
      </c>
      <c r="L118" t="str">
        <f t="shared" si="3"/>
        <v>Sne1117</v>
      </c>
      <c r="M118" t="str">
        <f t="shared" si="4"/>
        <v>Keyrd</v>
      </c>
      <c r="N118" t="str">
        <f t="shared" si="5"/>
        <v>eybo</v>
      </c>
    </row>
    <row r="119" spans="1:14" x14ac:dyDescent="0.3">
      <c r="A119" s="8">
        <v>1118</v>
      </c>
      <c r="B119" s="8" t="s">
        <v>21</v>
      </c>
      <c r="C119" s="8" t="s">
        <v>22</v>
      </c>
      <c r="D119" s="8" t="s">
        <v>18</v>
      </c>
      <c r="E119" s="8" t="s">
        <v>23</v>
      </c>
      <c r="F119" s="8">
        <v>18</v>
      </c>
      <c r="G119" s="8">
        <v>9118</v>
      </c>
      <c r="H119" s="8">
        <v>5</v>
      </c>
      <c r="I119" s="9">
        <v>46178</v>
      </c>
      <c r="J119" s="9">
        <v>46187</v>
      </c>
      <c r="K119" s="8" t="s">
        <v>29</v>
      </c>
      <c r="L119" t="str">
        <f t="shared" si="3"/>
        <v>Mee1118</v>
      </c>
      <c r="M119" t="str">
        <f t="shared" si="4"/>
        <v>Table</v>
      </c>
      <c r="N119" t="str">
        <f t="shared" si="5"/>
        <v>able</v>
      </c>
    </row>
    <row r="120" spans="1:14" x14ac:dyDescent="0.3">
      <c r="A120" s="8">
        <v>1119</v>
      </c>
      <c r="B120" s="8" t="s">
        <v>30</v>
      </c>
      <c r="C120" s="8" t="s">
        <v>43</v>
      </c>
      <c r="D120" s="8" t="s">
        <v>18</v>
      </c>
      <c r="E120" s="8" t="s">
        <v>28</v>
      </c>
      <c r="F120" s="8">
        <v>2</v>
      </c>
      <c r="G120" s="8">
        <v>3706</v>
      </c>
      <c r="H120" s="8">
        <v>5</v>
      </c>
      <c r="I120" s="9">
        <v>46184</v>
      </c>
      <c r="J120" s="9">
        <v>46192</v>
      </c>
      <c r="K120" s="8" t="s">
        <v>51</v>
      </c>
      <c r="L120" t="str">
        <f t="shared" si="3"/>
        <v>Neh1119</v>
      </c>
      <c r="M120" t="str">
        <f t="shared" si="4"/>
        <v>Chair</v>
      </c>
      <c r="N120" t="str">
        <f t="shared" si="5"/>
        <v>hair</v>
      </c>
    </row>
    <row r="121" spans="1:14" x14ac:dyDescent="0.3">
      <c r="A121" s="8">
        <v>1120</v>
      </c>
      <c r="B121" s="8" t="s">
        <v>32</v>
      </c>
      <c r="C121" s="8" t="s">
        <v>38</v>
      </c>
      <c r="D121" s="8" t="s">
        <v>13</v>
      </c>
      <c r="E121" s="8" t="s">
        <v>36</v>
      </c>
      <c r="F121" s="8">
        <v>10</v>
      </c>
      <c r="G121" s="8">
        <v>438</v>
      </c>
      <c r="H121" s="8">
        <v>10</v>
      </c>
      <c r="I121" s="9">
        <v>46061</v>
      </c>
      <c r="J121" s="9">
        <v>46065</v>
      </c>
      <c r="K121" s="8" t="s">
        <v>51</v>
      </c>
      <c r="L121" t="str">
        <f t="shared" si="3"/>
        <v>Ash1120</v>
      </c>
      <c r="M121" t="str">
        <f t="shared" si="4"/>
        <v>Staer</v>
      </c>
      <c r="N121" t="str">
        <f t="shared" si="5"/>
        <v>tapl</v>
      </c>
    </row>
    <row r="122" spans="1:14" x14ac:dyDescent="0.3">
      <c r="A122" s="8">
        <v>1121</v>
      </c>
      <c r="B122" s="8" t="s">
        <v>29</v>
      </c>
      <c r="C122" s="8" t="s">
        <v>12</v>
      </c>
      <c r="D122" s="8" t="s">
        <v>34</v>
      </c>
      <c r="E122" s="8" t="s">
        <v>39</v>
      </c>
      <c r="F122" s="8">
        <v>4</v>
      </c>
      <c r="G122" s="8">
        <v>55809</v>
      </c>
      <c r="H122" s="8">
        <v>2</v>
      </c>
      <c r="I122" s="9">
        <v>46103</v>
      </c>
      <c r="J122" s="9">
        <v>46108</v>
      </c>
      <c r="K122" s="8" t="s">
        <v>29</v>
      </c>
      <c r="L122" t="str">
        <f t="shared" si="3"/>
        <v>Pri1121</v>
      </c>
      <c r="M122" t="str">
        <f t="shared" si="4"/>
        <v>Keyrd</v>
      </c>
      <c r="N122" t="str">
        <f t="shared" si="5"/>
        <v>eybo</v>
      </c>
    </row>
    <row r="123" spans="1:14" x14ac:dyDescent="0.3">
      <c r="A123" s="8">
        <v>1122</v>
      </c>
      <c r="B123" s="8" t="s">
        <v>40</v>
      </c>
      <c r="C123" s="8" t="s">
        <v>22</v>
      </c>
      <c r="D123" s="8" t="s">
        <v>34</v>
      </c>
      <c r="E123" s="8" t="s">
        <v>39</v>
      </c>
      <c r="F123" s="8">
        <v>14</v>
      </c>
      <c r="G123" s="8">
        <v>49990</v>
      </c>
      <c r="H123" s="8">
        <v>10</v>
      </c>
      <c r="I123" s="9">
        <v>46132</v>
      </c>
      <c r="J123" s="9">
        <v>46135</v>
      </c>
      <c r="K123" s="8" t="s">
        <v>29</v>
      </c>
      <c r="L123" t="str">
        <f t="shared" si="3"/>
        <v>Dee1122</v>
      </c>
      <c r="M123" t="str">
        <f t="shared" si="4"/>
        <v>Keyrd</v>
      </c>
      <c r="N123" t="str">
        <f t="shared" si="5"/>
        <v>eybo</v>
      </c>
    </row>
    <row r="124" spans="1:14" x14ac:dyDescent="0.3">
      <c r="A124" s="8">
        <v>1123</v>
      </c>
      <c r="B124" s="8" t="s">
        <v>32</v>
      </c>
      <c r="C124" s="8" t="s">
        <v>31</v>
      </c>
      <c r="D124" s="8" t="s">
        <v>34</v>
      </c>
      <c r="E124" s="8" t="s">
        <v>45</v>
      </c>
      <c r="F124" s="8">
        <v>16</v>
      </c>
      <c r="G124" s="8">
        <v>1332</v>
      </c>
      <c r="H124" s="8">
        <v>7</v>
      </c>
      <c r="I124" s="9">
        <v>46107</v>
      </c>
      <c r="J124" s="9">
        <v>46109</v>
      </c>
      <c r="K124" s="8" t="s">
        <v>29</v>
      </c>
      <c r="L124" t="str">
        <f t="shared" si="3"/>
        <v>Ash1123</v>
      </c>
      <c r="M124" t="str">
        <f t="shared" si="4"/>
        <v>Monor</v>
      </c>
      <c r="N124" t="str">
        <f t="shared" si="5"/>
        <v>onit</v>
      </c>
    </row>
    <row r="125" spans="1:14" x14ac:dyDescent="0.3">
      <c r="A125" s="8">
        <v>1124</v>
      </c>
      <c r="B125" s="8" t="s">
        <v>27</v>
      </c>
      <c r="C125" s="8" t="s">
        <v>38</v>
      </c>
      <c r="D125" s="8" t="s">
        <v>18</v>
      </c>
      <c r="E125" s="8" t="s">
        <v>56</v>
      </c>
      <c r="F125" s="8">
        <v>4</v>
      </c>
      <c r="G125" s="8">
        <v>14195</v>
      </c>
      <c r="H125" s="8">
        <v>15</v>
      </c>
      <c r="I125" s="9">
        <v>46182</v>
      </c>
      <c r="J125" s="9">
        <v>46189</v>
      </c>
      <c r="K125" s="8" t="s">
        <v>51</v>
      </c>
      <c r="L125" t="str">
        <f t="shared" si="3"/>
        <v>Arj1124</v>
      </c>
      <c r="M125" t="str">
        <f t="shared" si="4"/>
        <v>Cabet</v>
      </c>
      <c r="N125" t="str">
        <f t="shared" si="5"/>
        <v>abin</v>
      </c>
    </row>
    <row r="126" spans="1:14" x14ac:dyDescent="0.3">
      <c r="A126" s="8">
        <v>1125</v>
      </c>
      <c r="B126" s="8" t="s">
        <v>49</v>
      </c>
      <c r="C126" s="8" t="s">
        <v>33</v>
      </c>
      <c r="D126" s="8" t="s">
        <v>13</v>
      </c>
      <c r="E126" s="8" t="s">
        <v>14</v>
      </c>
      <c r="F126" s="8">
        <v>6</v>
      </c>
      <c r="G126" s="8">
        <v>30</v>
      </c>
      <c r="H126" s="8">
        <v>2</v>
      </c>
      <c r="I126" s="9">
        <v>46133</v>
      </c>
      <c r="J126" s="9">
        <v>46138</v>
      </c>
      <c r="K126" s="8" t="s">
        <v>24</v>
      </c>
      <c r="L126" t="str">
        <f t="shared" si="3"/>
        <v>Aja1125</v>
      </c>
      <c r="M126" t="str">
        <f t="shared" si="4"/>
        <v>Notok</v>
      </c>
      <c r="N126" t="str">
        <f t="shared" si="5"/>
        <v>oteb</v>
      </c>
    </row>
    <row r="127" spans="1:14" x14ac:dyDescent="0.3">
      <c r="A127" s="8">
        <v>1126</v>
      </c>
      <c r="B127" s="8" t="s">
        <v>46</v>
      </c>
      <c r="C127" s="8" t="s">
        <v>22</v>
      </c>
      <c r="D127" s="8" t="s">
        <v>34</v>
      </c>
      <c r="E127" s="8" t="s">
        <v>39</v>
      </c>
      <c r="F127" s="8">
        <v>17</v>
      </c>
      <c r="G127" s="8">
        <v>19390</v>
      </c>
      <c r="H127" s="8">
        <v>12</v>
      </c>
      <c r="I127" s="9">
        <v>46201</v>
      </c>
      <c r="J127" s="9">
        <v>46206</v>
      </c>
      <c r="K127" s="8" t="s">
        <v>29</v>
      </c>
      <c r="L127" t="str">
        <f t="shared" si="3"/>
        <v>Kir1126</v>
      </c>
      <c r="M127" t="str">
        <f t="shared" si="4"/>
        <v>Keyrd</v>
      </c>
      <c r="N127" t="str">
        <f t="shared" si="5"/>
        <v>eybo</v>
      </c>
    </row>
    <row r="128" spans="1:14" x14ac:dyDescent="0.3">
      <c r="A128" s="8">
        <v>1127</v>
      </c>
      <c r="B128" s="8" t="s">
        <v>26</v>
      </c>
      <c r="C128" s="8" t="s">
        <v>33</v>
      </c>
      <c r="D128" s="8" t="s">
        <v>18</v>
      </c>
      <c r="E128" s="8" t="s">
        <v>28</v>
      </c>
      <c r="F128" s="8">
        <v>15</v>
      </c>
      <c r="G128" s="8">
        <v>11694</v>
      </c>
      <c r="H128" s="8">
        <v>12</v>
      </c>
      <c r="I128" s="9">
        <v>46170</v>
      </c>
      <c r="J128" s="9">
        <v>46179</v>
      </c>
      <c r="K128" s="8" t="s">
        <v>29</v>
      </c>
      <c r="L128" t="str">
        <f t="shared" si="3"/>
        <v>Vik1127</v>
      </c>
      <c r="M128" t="str">
        <f t="shared" si="4"/>
        <v>Chair</v>
      </c>
      <c r="N128" t="str">
        <f t="shared" si="5"/>
        <v>hair</v>
      </c>
    </row>
    <row r="129" spans="1:14" x14ac:dyDescent="0.3">
      <c r="A129" s="8">
        <v>1128</v>
      </c>
      <c r="B129" s="8" t="s">
        <v>30</v>
      </c>
      <c r="C129" s="8" t="s">
        <v>22</v>
      </c>
      <c r="D129" s="8" t="s">
        <v>34</v>
      </c>
      <c r="E129" s="8" t="s">
        <v>61</v>
      </c>
      <c r="F129" s="8">
        <v>6</v>
      </c>
      <c r="G129" s="8">
        <v>5001</v>
      </c>
      <c r="H129" s="8">
        <v>7</v>
      </c>
      <c r="I129" s="9">
        <v>46044</v>
      </c>
      <c r="J129" s="9">
        <v>46050</v>
      </c>
      <c r="K129" s="8" t="s">
        <v>29</v>
      </c>
      <c r="L129" t="str">
        <f t="shared" si="3"/>
        <v>Neh1128</v>
      </c>
      <c r="M129" t="str">
        <f t="shared" si="4"/>
        <v>Mouse</v>
      </c>
      <c r="N129" t="str">
        <f t="shared" si="5"/>
        <v>ouse</v>
      </c>
    </row>
    <row r="130" spans="1:14" x14ac:dyDescent="0.3">
      <c r="A130" s="8">
        <v>1129</v>
      </c>
      <c r="B130" s="8" t="s">
        <v>58</v>
      </c>
      <c r="C130" s="8" t="s">
        <v>17</v>
      </c>
      <c r="D130" s="8" t="s">
        <v>13</v>
      </c>
      <c r="E130" s="8" t="s">
        <v>50</v>
      </c>
      <c r="F130" s="8">
        <v>15</v>
      </c>
      <c r="G130" s="8">
        <v>75</v>
      </c>
      <c r="H130" s="8">
        <v>7</v>
      </c>
      <c r="I130" s="9">
        <v>46160</v>
      </c>
      <c r="J130" s="9">
        <v>46164</v>
      </c>
      <c r="K130" s="8" t="s">
        <v>29</v>
      </c>
      <c r="L130" t="str">
        <f t="shared" si="3"/>
        <v>Roh1129</v>
      </c>
      <c r="M130" t="str">
        <f t="shared" si="4"/>
        <v>Marer</v>
      </c>
      <c r="N130" t="str">
        <f t="shared" si="5"/>
        <v>arke</v>
      </c>
    </row>
    <row r="131" spans="1:14" x14ac:dyDescent="0.3">
      <c r="A131" s="8">
        <v>1130</v>
      </c>
      <c r="B131" s="8" t="s">
        <v>48</v>
      </c>
      <c r="C131" s="8" t="s">
        <v>33</v>
      </c>
      <c r="D131" s="8" t="s">
        <v>13</v>
      </c>
      <c r="E131" s="8" t="s">
        <v>14</v>
      </c>
      <c r="F131" s="8">
        <v>12</v>
      </c>
      <c r="G131" s="8">
        <v>50</v>
      </c>
      <c r="H131" s="8">
        <v>2</v>
      </c>
      <c r="I131" s="9">
        <v>46125</v>
      </c>
      <c r="J131" s="9">
        <v>46131</v>
      </c>
      <c r="K131" s="8" t="s">
        <v>24</v>
      </c>
      <c r="L131" t="str">
        <f t="shared" ref="L131:L194" si="6">LEFT(B131, 3)&amp;A131</f>
        <v>Nit1130</v>
      </c>
      <c r="M131" t="str">
        <f t="shared" ref="M131:M194" si="7">LEFT(E131, 3)&amp; RIGHT(E131, 2)</f>
        <v>Notok</v>
      </c>
      <c r="N131" t="str">
        <f t="shared" ref="N131:N194" si="8">MID(E131, 2, 4)</f>
        <v>oteb</v>
      </c>
    </row>
    <row r="132" spans="1:14" x14ac:dyDescent="0.3">
      <c r="A132" s="8">
        <v>1131</v>
      </c>
      <c r="B132" s="8" t="s">
        <v>21</v>
      </c>
      <c r="C132" s="8" t="s">
        <v>31</v>
      </c>
      <c r="D132" s="8" t="s">
        <v>18</v>
      </c>
      <c r="E132" s="8" t="s">
        <v>23</v>
      </c>
      <c r="F132" s="8">
        <v>13</v>
      </c>
      <c r="G132" s="8">
        <v>3083</v>
      </c>
      <c r="H132" s="8">
        <v>7</v>
      </c>
      <c r="I132" s="9">
        <v>46168</v>
      </c>
      <c r="J132" s="9">
        <v>46173</v>
      </c>
      <c r="K132" s="8" t="s">
        <v>51</v>
      </c>
      <c r="L132" t="str">
        <f t="shared" si="6"/>
        <v>Mee1131</v>
      </c>
      <c r="M132" t="str">
        <f t="shared" si="7"/>
        <v>Table</v>
      </c>
      <c r="N132" t="str">
        <f t="shared" si="8"/>
        <v>able</v>
      </c>
    </row>
    <row r="133" spans="1:14" x14ac:dyDescent="0.3">
      <c r="A133" s="8">
        <v>1132</v>
      </c>
      <c r="B133" s="8" t="s">
        <v>11</v>
      </c>
      <c r="C133" s="8" t="s">
        <v>31</v>
      </c>
      <c r="D133" s="8" t="s">
        <v>13</v>
      </c>
      <c r="E133" s="8" t="s">
        <v>50</v>
      </c>
      <c r="F133" s="8">
        <v>10</v>
      </c>
      <c r="G133" s="8">
        <v>270</v>
      </c>
      <c r="H133" s="8">
        <v>7</v>
      </c>
      <c r="I133" s="9">
        <v>46024</v>
      </c>
      <c r="J133" s="9">
        <v>46034</v>
      </c>
      <c r="K133" s="8" t="s">
        <v>24</v>
      </c>
      <c r="L133" t="str">
        <f t="shared" si="6"/>
        <v>Rit1132</v>
      </c>
      <c r="M133" t="str">
        <f t="shared" si="7"/>
        <v>Marer</v>
      </c>
      <c r="N133" t="str">
        <f t="shared" si="8"/>
        <v>arke</v>
      </c>
    </row>
    <row r="134" spans="1:14" x14ac:dyDescent="0.3">
      <c r="A134" s="8">
        <v>1133</v>
      </c>
      <c r="B134" s="8" t="s">
        <v>11</v>
      </c>
      <c r="C134" s="8" t="s">
        <v>12</v>
      </c>
      <c r="D134" s="8" t="s">
        <v>18</v>
      </c>
      <c r="E134" s="8" t="s">
        <v>56</v>
      </c>
      <c r="F134" s="8">
        <v>6</v>
      </c>
      <c r="G134" s="8">
        <v>9037</v>
      </c>
      <c r="H134" s="8">
        <v>2</v>
      </c>
      <c r="I134" s="9">
        <v>46112</v>
      </c>
      <c r="J134" s="9">
        <v>46121</v>
      </c>
      <c r="K134" s="8" t="s">
        <v>51</v>
      </c>
      <c r="L134" t="str">
        <f t="shared" si="6"/>
        <v>Rit1133</v>
      </c>
      <c r="M134" t="str">
        <f t="shared" si="7"/>
        <v>Cabet</v>
      </c>
      <c r="N134" t="str">
        <f t="shared" si="8"/>
        <v>abin</v>
      </c>
    </row>
    <row r="135" spans="1:14" x14ac:dyDescent="0.3">
      <c r="A135" s="8">
        <v>1134</v>
      </c>
      <c r="B135" s="8" t="s">
        <v>57</v>
      </c>
      <c r="C135" s="8" t="s">
        <v>31</v>
      </c>
      <c r="D135" s="8" t="s">
        <v>34</v>
      </c>
      <c r="E135" s="8" t="s">
        <v>61</v>
      </c>
      <c r="F135" s="8">
        <v>10</v>
      </c>
      <c r="G135" s="8">
        <v>29217</v>
      </c>
      <c r="H135" s="8">
        <v>15</v>
      </c>
      <c r="I135" s="9">
        <v>46148</v>
      </c>
      <c r="J135" s="9">
        <v>46150</v>
      </c>
      <c r="K135" s="8" t="s">
        <v>24</v>
      </c>
      <c r="L135" t="str">
        <f t="shared" si="6"/>
        <v>Sar1134</v>
      </c>
      <c r="M135" t="str">
        <f t="shared" si="7"/>
        <v>Mouse</v>
      </c>
      <c r="N135" t="str">
        <f t="shared" si="8"/>
        <v>ouse</v>
      </c>
    </row>
    <row r="136" spans="1:14" x14ac:dyDescent="0.3">
      <c r="A136" s="8">
        <v>1135</v>
      </c>
      <c r="B136" s="8" t="s">
        <v>49</v>
      </c>
      <c r="C136" s="8" t="s">
        <v>43</v>
      </c>
      <c r="D136" s="8" t="s">
        <v>34</v>
      </c>
      <c r="E136" s="8" t="s">
        <v>39</v>
      </c>
      <c r="F136" s="8">
        <v>14</v>
      </c>
      <c r="G136" s="8">
        <v>68534</v>
      </c>
      <c r="H136" s="8">
        <v>0</v>
      </c>
      <c r="I136" s="9">
        <v>46041</v>
      </c>
      <c r="J136" s="9">
        <v>46042</v>
      </c>
      <c r="K136" s="8" t="s">
        <v>15</v>
      </c>
      <c r="L136" t="str">
        <f t="shared" si="6"/>
        <v>Aja1135</v>
      </c>
      <c r="M136" t="str">
        <f t="shared" si="7"/>
        <v>Keyrd</v>
      </c>
      <c r="N136" t="str">
        <f t="shared" si="8"/>
        <v>eybo</v>
      </c>
    </row>
    <row r="137" spans="1:14" x14ac:dyDescent="0.3">
      <c r="A137" s="8">
        <v>1136</v>
      </c>
      <c r="B137" s="8" t="s">
        <v>27</v>
      </c>
      <c r="C137" s="8" t="s">
        <v>43</v>
      </c>
      <c r="D137" s="8" t="s">
        <v>18</v>
      </c>
      <c r="E137" s="8" t="s">
        <v>56</v>
      </c>
      <c r="F137" s="8">
        <v>19</v>
      </c>
      <c r="G137" s="8">
        <v>14528</v>
      </c>
      <c r="H137" s="8">
        <v>12</v>
      </c>
      <c r="I137" s="9">
        <v>46056</v>
      </c>
      <c r="J137" s="9">
        <v>46062</v>
      </c>
      <c r="K137" s="8" t="s">
        <v>24</v>
      </c>
      <c r="L137" t="str">
        <f t="shared" si="6"/>
        <v>Arj1136</v>
      </c>
      <c r="M137" t="str">
        <f t="shared" si="7"/>
        <v>Cabet</v>
      </c>
      <c r="N137" t="str">
        <f t="shared" si="8"/>
        <v>abin</v>
      </c>
    </row>
    <row r="138" spans="1:14" x14ac:dyDescent="0.3">
      <c r="A138" s="8">
        <v>1137</v>
      </c>
      <c r="B138" s="8" t="s">
        <v>52</v>
      </c>
      <c r="C138" s="8" t="s">
        <v>12</v>
      </c>
      <c r="D138" s="8" t="s">
        <v>13</v>
      </c>
      <c r="E138" s="8" t="s">
        <v>37</v>
      </c>
      <c r="F138" s="8">
        <v>16</v>
      </c>
      <c r="G138" s="8">
        <v>270</v>
      </c>
      <c r="H138" s="8">
        <v>10</v>
      </c>
      <c r="I138" s="9">
        <v>46184</v>
      </c>
      <c r="J138" s="9">
        <v>46190</v>
      </c>
      <c r="K138" s="8" t="s">
        <v>29</v>
      </c>
      <c r="L138" t="str">
        <f t="shared" si="6"/>
        <v>Kom1137</v>
      </c>
      <c r="M138" t="str">
        <f t="shared" si="7"/>
        <v>Penck</v>
      </c>
      <c r="N138" t="str">
        <f t="shared" si="8"/>
        <v>en P</v>
      </c>
    </row>
    <row r="139" spans="1:14" x14ac:dyDescent="0.3">
      <c r="A139" s="8">
        <v>1138</v>
      </c>
      <c r="B139" s="8" t="s">
        <v>55</v>
      </c>
      <c r="C139" s="8" t="s">
        <v>43</v>
      </c>
      <c r="D139" s="8" t="s">
        <v>18</v>
      </c>
      <c r="E139" s="8" t="s">
        <v>19</v>
      </c>
      <c r="F139" s="8">
        <v>5</v>
      </c>
      <c r="G139" s="8">
        <v>14466</v>
      </c>
      <c r="H139" s="8">
        <v>2</v>
      </c>
      <c r="I139" s="9">
        <v>46084</v>
      </c>
      <c r="J139" s="9">
        <v>46092</v>
      </c>
      <c r="K139" s="8" t="s">
        <v>51</v>
      </c>
      <c r="L139" t="str">
        <f t="shared" si="6"/>
        <v>Sne1138</v>
      </c>
      <c r="M139" t="str">
        <f t="shared" si="7"/>
        <v>Dessk</v>
      </c>
      <c r="N139" t="str">
        <f t="shared" si="8"/>
        <v>esk</v>
      </c>
    </row>
    <row r="140" spans="1:14" x14ac:dyDescent="0.3">
      <c r="A140" s="8">
        <v>1139</v>
      </c>
      <c r="B140" s="8" t="s">
        <v>55</v>
      </c>
      <c r="C140" s="8" t="s">
        <v>33</v>
      </c>
      <c r="D140" s="8" t="s">
        <v>34</v>
      </c>
      <c r="E140" s="8" t="s">
        <v>61</v>
      </c>
      <c r="F140" s="8">
        <v>17</v>
      </c>
      <c r="G140" s="8">
        <v>28839</v>
      </c>
      <c r="H140" s="8">
        <v>10</v>
      </c>
      <c r="I140" s="9">
        <v>46093</v>
      </c>
      <c r="J140" s="9">
        <v>46099</v>
      </c>
      <c r="K140" s="8" t="s">
        <v>15</v>
      </c>
      <c r="L140" t="str">
        <f t="shared" si="6"/>
        <v>Sne1139</v>
      </c>
      <c r="M140" t="str">
        <f t="shared" si="7"/>
        <v>Mouse</v>
      </c>
      <c r="N140" t="str">
        <f t="shared" si="8"/>
        <v>ouse</v>
      </c>
    </row>
    <row r="141" spans="1:14" x14ac:dyDescent="0.3">
      <c r="A141" s="8">
        <v>1140</v>
      </c>
      <c r="B141" s="8" t="s">
        <v>57</v>
      </c>
      <c r="C141" s="8" t="s">
        <v>38</v>
      </c>
      <c r="D141" s="8" t="s">
        <v>34</v>
      </c>
      <c r="E141" s="8" t="s">
        <v>41</v>
      </c>
      <c r="F141" s="8">
        <v>5</v>
      </c>
      <c r="G141" s="8">
        <v>68012</v>
      </c>
      <c r="H141" s="8">
        <v>5</v>
      </c>
      <c r="I141" s="9">
        <v>46061</v>
      </c>
      <c r="J141" s="9">
        <v>46065</v>
      </c>
      <c r="K141" s="8" t="s">
        <v>15</v>
      </c>
      <c r="L141" t="str">
        <f t="shared" si="6"/>
        <v>Sar1140</v>
      </c>
      <c r="M141" t="str">
        <f t="shared" si="7"/>
        <v>Heaet</v>
      </c>
      <c r="N141" t="str">
        <f t="shared" si="8"/>
        <v>eads</v>
      </c>
    </row>
    <row r="142" spans="1:14" x14ac:dyDescent="0.3">
      <c r="A142" s="8">
        <v>1141</v>
      </c>
      <c r="B142" s="8" t="s">
        <v>11</v>
      </c>
      <c r="C142" s="8" t="s">
        <v>17</v>
      </c>
      <c r="D142" s="8" t="s">
        <v>18</v>
      </c>
      <c r="E142" s="8" t="s">
        <v>44</v>
      </c>
      <c r="F142" s="8">
        <v>20</v>
      </c>
      <c r="G142" s="8">
        <v>6835</v>
      </c>
      <c r="H142" s="8">
        <v>2</v>
      </c>
      <c r="I142" s="9">
        <v>46043</v>
      </c>
      <c r="J142" s="9">
        <v>46053</v>
      </c>
      <c r="K142" s="8" t="s">
        <v>15</v>
      </c>
      <c r="L142" t="str">
        <f t="shared" si="6"/>
        <v>Rit1141</v>
      </c>
      <c r="M142" t="str">
        <f t="shared" si="7"/>
        <v>Boolf</v>
      </c>
      <c r="N142" t="str">
        <f t="shared" si="8"/>
        <v>ooks</v>
      </c>
    </row>
    <row r="143" spans="1:14" x14ac:dyDescent="0.3">
      <c r="A143" s="8">
        <v>1142</v>
      </c>
      <c r="B143" s="8" t="s">
        <v>40</v>
      </c>
      <c r="C143" s="8" t="s">
        <v>25</v>
      </c>
      <c r="D143" s="8" t="s">
        <v>34</v>
      </c>
      <c r="E143" s="8" t="s">
        <v>60</v>
      </c>
      <c r="F143" s="8">
        <v>9</v>
      </c>
      <c r="G143" s="8">
        <v>59788</v>
      </c>
      <c r="H143" s="8">
        <v>7</v>
      </c>
      <c r="I143" s="9">
        <v>46064</v>
      </c>
      <c r="J143" s="9">
        <v>46071</v>
      </c>
      <c r="K143" s="8" t="s">
        <v>29</v>
      </c>
      <c r="L143" t="str">
        <f t="shared" si="6"/>
        <v>Dee1142</v>
      </c>
      <c r="M143" t="str">
        <f t="shared" si="7"/>
        <v>Lapop</v>
      </c>
      <c r="N143" t="str">
        <f t="shared" si="8"/>
        <v>apto</v>
      </c>
    </row>
    <row r="144" spans="1:14" x14ac:dyDescent="0.3">
      <c r="A144" s="8">
        <v>1143</v>
      </c>
      <c r="B144" s="8" t="s">
        <v>29</v>
      </c>
      <c r="C144" s="8" t="s">
        <v>17</v>
      </c>
      <c r="D144" s="8" t="s">
        <v>13</v>
      </c>
      <c r="E144" s="8" t="s">
        <v>37</v>
      </c>
      <c r="F144" s="8">
        <v>13</v>
      </c>
      <c r="G144" s="8">
        <v>456</v>
      </c>
      <c r="H144" s="8">
        <v>2</v>
      </c>
      <c r="I144" s="9">
        <v>46160</v>
      </c>
      <c r="J144" s="9">
        <v>46167</v>
      </c>
      <c r="K144" s="8" t="s">
        <v>24</v>
      </c>
      <c r="L144" t="str">
        <f t="shared" si="6"/>
        <v>Pri1143</v>
      </c>
      <c r="M144" t="str">
        <f t="shared" si="7"/>
        <v>Penck</v>
      </c>
      <c r="N144" t="str">
        <f t="shared" si="8"/>
        <v>en P</v>
      </c>
    </row>
    <row r="145" spans="1:14" x14ac:dyDescent="0.3">
      <c r="A145" s="8">
        <v>1144</v>
      </c>
      <c r="B145" s="8" t="s">
        <v>42</v>
      </c>
      <c r="C145" s="8" t="s">
        <v>25</v>
      </c>
      <c r="D145" s="8" t="s">
        <v>13</v>
      </c>
      <c r="E145" s="8" t="s">
        <v>14</v>
      </c>
      <c r="F145" s="8">
        <v>16</v>
      </c>
      <c r="G145" s="8">
        <v>219</v>
      </c>
      <c r="H145" s="8">
        <v>7</v>
      </c>
      <c r="I145" s="9">
        <v>46138</v>
      </c>
      <c r="J145" s="9">
        <v>46140</v>
      </c>
      <c r="K145" s="8" t="s">
        <v>20</v>
      </c>
      <c r="L145" t="str">
        <f t="shared" si="6"/>
        <v>Nis1144</v>
      </c>
      <c r="M145" t="str">
        <f t="shared" si="7"/>
        <v>Notok</v>
      </c>
      <c r="N145" t="str">
        <f t="shared" si="8"/>
        <v>oteb</v>
      </c>
    </row>
    <row r="146" spans="1:14" x14ac:dyDescent="0.3">
      <c r="A146" s="8">
        <v>1145</v>
      </c>
      <c r="B146" s="8" t="s">
        <v>42</v>
      </c>
      <c r="C146" s="8" t="s">
        <v>33</v>
      </c>
      <c r="D146" s="8" t="s">
        <v>34</v>
      </c>
      <c r="E146" s="8" t="s">
        <v>39</v>
      </c>
      <c r="F146" s="8">
        <v>2</v>
      </c>
      <c r="G146" s="8">
        <v>34429</v>
      </c>
      <c r="H146" s="8">
        <v>12</v>
      </c>
      <c r="I146" s="9">
        <v>46102</v>
      </c>
      <c r="J146" s="9">
        <v>46112</v>
      </c>
      <c r="K146" s="8" t="s">
        <v>24</v>
      </c>
      <c r="L146" t="str">
        <f t="shared" si="6"/>
        <v>Nis1145</v>
      </c>
      <c r="M146" t="str">
        <f t="shared" si="7"/>
        <v>Keyrd</v>
      </c>
      <c r="N146" t="str">
        <f t="shared" si="8"/>
        <v>eybo</v>
      </c>
    </row>
    <row r="147" spans="1:14" x14ac:dyDescent="0.3">
      <c r="A147" s="8">
        <v>1146</v>
      </c>
      <c r="B147" s="8" t="s">
        <v>16</v>
      </c>
      <c r="C147" s="8" t="s">
        <v>43</v>
      </c>
      <c r="D147" s="8" t="s">
        <v>34</v>
      </c>
      <c r="E147" s="8" t="s">
        <v>45</v>
      </c>
      <c r="F147" s="8">
        <v>7</v>
      </c>
      <c r="G147" s="8">
        <v>68217</v>
      </c>
      <c r="H147" s="8">
        <v>0</v>
      </c>
      <c r="I147" s="9">
        <v>46190</v>
      </c>
      <c r="J147" s="9">
        <v>46197</v>
      </c>
      <c r="K147" s="8" t="s">
        <v>29</v>
      </c>
      <c r="L147" t="str">
        <f t="shared" si="6"/>
        <v>Poo1146</v>
      </c>
      <c r="M147" t="str">
        <f t="shared" si="7"/>
        <v>Monor</v>
      </c>
      <c r="N147" t="str">
        <f t="shared" si="8"/>
        <v>onit</v>
      </c>
    </row>
    <row r="148" spans="1:14" x14ac:dyDescent="0.3">
      <c r="A148" s="8">
        <v>1147</v>
      </c>
      <c r="B148" s="8" t="s">
        <v>11</v>
      </c>
      <c r="C148" s="8" t="s">
        <v>22</v>
      </c>
      <c r="D148" s="8" t="s">
        <v>18</v>
      </c>
      <c r="E148" s="8" t="s">
        <v>28</v>
      </c>
      <c r="F148" s="8">
        <v>7</v>
      </c>
      <c r="G148" s="8">
        <v>9581</v>
      </c>
      <c r="H148" s="8">
        <v>5</v>
      </c>
      <c r="I148" s="9">
        <v>46154</v>
      </c>
      <c r="J148" s="9">
        <v>46155</v>
      </c>
      <c r="K148" s="8" t="s">
        <v>20</v>
      </c>
      <c r="L148" t="str">
        <f t="shared" si="6"/>
        <v>Rit1147</v>
      </c>
      <c r="M148" t="str">
        <f t="shared" si="7"/>
        <v>Chair</v>
      </c>
      <c r="N148" t="str">
        <f t="shared" si="8"/>
        <v>hair</v>
      </c>
    </row>
    <row r="149" spans="1:14" x14ac:dyDescent="0.3">
      <c r="A149" s="8">
        <v>1148</v>
      </c>
      <c r="B149" s="8" t="s">
        <v>59</v>
      </c>
      <c r="C149" s="8" t="s">
        <v>33</v>
      </c>
      <c r="D149" s="8" t="s">
        <v>18</v>
      </c>
      <c r="E149" s="8" t="s">
        <v>28</v>
      </c>
      <c r="F149" s="8">
        <v>11</v>
      </c>
      <c r="G149" s="8">
        <v>3023</v>
      </c>
      <c r="H149" s="8">
        <v>7</v>
      </c>
      <c r="I149" s="9">
        <v>46030</v>
      </c>
      <c r="J149" s="9">
        <v>46032</v>
      </c>
      <c r="K149" s="8" t="s">
        <v>24</v>
      </c>
      <c r="L149" t="str">
        <f t="shared" si="6"/>
        <v>Ani1148</v>
      </c>
      <c r="M149" t="str">
        <f t="shared" si="7"/>
        <v>Chair</v>
      </c>
      <c r="N149" t="str">
        <f t="shared" si="8"/>
        <v>hair</v>
      </c>
    </row>
    <row r="150" spans="1:14" x14ac:dyDescent="0.3">
      <c r="A150" s="8">
        <v>1149</v>
      </c>
      <c r="B150" s="8" t="s">
        <v>26</v>
      </c>
      <c r="C150" s="8" t="s">
        <v>38</v>
      </c>
      <c r="D150" s="8" t="s">
        <v>34</v>
      </c>
      <c r="E150" s="8" t="s">
        <v>35</v>
      </c>
      <c r="F150" s="8">
        <v>10</v>
      </c>
      <c r="G150" s="8">
        <v>22853</v>
      </c>
      <c r="H150" s="8">
        <v>7</v>
      </c>
      <c r="I150" s="9">
        <v>46053</v>
      </c>
      <c r="J150" s="9">
        <v>46054</v>
      </c>
      <c r="K150" s="8" t="s">
        <v>29</v>
      </c>
      <c r="L150" t="str">
        <f t="shared" si="6"/>
        <v>Vik1149</v>
      </c>
      <c r="M150" t="str">
        <f t="shared" si="7"/>
        <v>Prier</v>
      </c>
      <c r="N150" t="str">
        <f t="shared" si="8"/>
        <v>rint</v>
      </c>
    </row>
    <row r="151" spans="1:14" x14ac:dyDescent="0.3">
      <c r="A151" s="8">
        <v>1150</v>
      </c>
      <c r="B151" s="8" t="s">
        <v>42</v>
      </c>
      <c r="C151" s="8" t="s">
        <v>12</v>
      </c>
      <c r="D151" s="8" t="s">
        <v>18</v>
      </c>
      <c r="E151" s="8" t="s">
        <v>56</v>
      </c>
      <c r="F151" s="8">
        <v>10</v>
      </c>
      <c r="G151" s="8">
        <v>5323</v>
      </c>
      <c r="H151" s="8">
        <v>7</v>
      </c>
      <c r="I151" s="9">
        <v>46143</v>
      </c>
      <c r="J151" s="9">
        <v>46153</v>
      </c>
      <c r="K151" s="8" t="s">
        <v>24</v>
      </c>
      <c r="L151" t="str">
        <f t="shared" si="6"/>
        <v>Nis1150</v>
      </c>
      <c r="M151" t="str">
        <f t="shared" si="7"/>
        <v>Cabet</v>
      </c>
      <c r="N151" t="str">
        <f t="shared" si="8"/>
        <v>abin</v>
      </c>
    </row>
    <row r="152" spans="1:14" x14ac:dyDescent="0.3">
      <c r="A152" s="8">
        <v>1151</v>
      </c>
      <c r="B152" s="8" t="s">
        <v>46</v>
      </c>
      <c r="C152" s="8" t="s">
        <v>43</v>
      </c>
      <c r="D152" s="8" t="s">
        <v>13</v>
      </c>
      <c r="E152" s="8" t="s">
        <v>50</v>
      </c>
      <c r="F152" s="8">
        <v>20</v>
      </c>
      <c r="G152" s="8">
        <v>272</v>
      </c>
      <c r="H152" s="8">
        <v>15</v>
      </c>
      <c r="I152" s="9">
        <v>46024</v>
      </c>
      <c r="J152" s="9">
        <v>46029</v>
      </c>
      <c r="K152" s="8" t="s">
        <v>51</v>
      </c>
      <c r="L152" t="str">
        <f t="shared" si="6"/>
        <v>Kir1151</v>
      </c>
      <c r="M152" t="str">
        <f t="shared" si="7"/>
        <v>Marer</v>
      </c>
      <c r="N152" t="str">
        <f t="shared" si="8"/>
        <v>arke</v>
      </c>
    </row>
    <row r="153" spans="1:14" x14ac:dyDescent="0.3">
      <c r="A153" s="8">
        <v>1152</v>
      </c>
      <c r="B153" s="8" t="s">
        <v>27</v>
      </c>
      <c r="C153" s="8" t="s">
        <v>31</v>
      </c>
      <c r="D153" s="8" t="s">
        <v>34</v>
      </c>
      <c r="E153" s="8" t="s">
        <v>61</v>
      </c>
      <c r="F153" s="8">
        <v>14</v>
      </c>
      <c r="G153" s="8">
        <v>8150</v>
      </c>
      <c r="H153" s="8">
        <v>10</v>
      </c>
      <c r="I153" s="9">
        <v>46062</v>
      </c>
      <c r="J153" s="9">
        <v>46070</v>
      </c>
      <c r="K153" s="8" t="s">
        <v>15</v>
      </c>
      <c r="L153" t="str">
        <f t="shared" si="6"/>
        <v>Arj1152</v>
      </c>
      <c r="M153" t="str">
        <f t="shared" si="7"/>
        <v>Mouse</v>
      </c>
      <c r="N153" t="str">
        <f t="shared" si="8"/>
        <v>ouse</v>
      </c>
    </row>
    <row r="154" spans="1:14" x14ac:dyDescent="0.3">
      <c r="A154" s="8">
        <v>1153</v>
      </c>
      <c r="B154" s="8" t="s">
        <v>42</v>
      </c>
      <c r="C154" s="8" t="s">
        <v>25</v>
      </c>
      <c r="D154" s="8" t="s">
        <v>18</v>
      </c>
      <c r="E154" s="8" t="s">
        <v>23</v>
      </c>
      <c r="F154" s="8">
        <v>19</v>
      </c>
      <c r="G154" s="8">
        <v>10273</v>
      </c>
      <c r="H154" s="8">
        <v>12</v>
      </c>
      <c r="I154" s="9">
        <v>46069</v>
      </c>
      <c r="J154" s="9">
        <v>46072</v>
      </c>
      <c r="K154" s="8" t="s">
        <v>29</v>
      </c>
      <c r="L154" t="str">
        <f t="shared" si="6"/>
        <v>Nis1153</v>
      </c>
      <c r="M154" t="str">
        <f t="shared" si="7"/>
        <v>Table</v>
      </c>
      <c r="N154" t="str">
        <f t="shared" si="8"/>
        <v>able</v>
      </c>
    </row>
    <row r="155" spans="1:14" x14ac:dyDescent="0.3">
      <c r="A155" s="8">
        <v>1154</v>
      </c>
      <c r="B155" s="8" t="s">
        <v>32</v>
      </c>
      <c r="C155" s="8" t="s">
        <v>17</v>
      </c>
      <c r="D155" s="8" t="s">
        <v>18</v>
      </c>
      <c r="E155" s="8" t="s">
        <v>56</v>
      </c>
      <c r="F155" s="8">
        <v>15</v>
      </c>
      <c r="G155" s="8">
        <v>6101</v>
      </c>
      <c r="H155" s="8">
        <v>0</v>
      </c>
      <c r="I155" s="9">
        <v>46178</v>
      </c>
      <c r="J155" s="9">
        <v>46183</v>
      </c>
      <c r="K155" s="8" t="s">
        <v>51</v>
      </c>
      <c r="L155" t="str">
        <f t="shared" si="6"/>
        <v>Ash1154</v>
      </c>
      <c r="M155" t="str">
        <f t="shared" si="7"/>
        <v>Cabet</v>
      </c>
      <c r="N155" t="str">
        <f t="shared" si="8"/>
        <v>abin</v>
      </c>
    </row>
    <row r="156" spans="1:14" x14ac:dyDescent="0.3">
      <c r="A156" s="8">
        <v>1155</v>
      </c>
      <c r="B156" s="8" t="s">
        <v>11</v>
      </c>
      <c r="C156" s="8" t="s">
        <v>31</v>
      </c>
      <c r="D156" s="8" t="s">
        <v>18</v>
      </c>
      <c r="E156" s="8" t="s">
        <v>28</v>
      </c>
      <c r="F156" s="8">
        <v>13</v>
      </c>
      <c r="G156" s="8">
        <v>4341</v>
      </c>
      <c r="H156" s="8">
        <v>15</v>
      </c>
      <c r="I156" s="9">
        <v>46093</v>
      </c>
      <c r="J156" s="9">
        <v>46096</v>
      </c>
      <c r="K156" s="8" t="s">
        <v>24</v>
      </c>
      <c r="L156" t="str">
        <f t="shared" si="6"/>
        <v>Rit1155</v>
      </c>
      <c r="M156" t="str">
        <f t="shared" si="7"/>
        <v>Chair</v>
      </c>
      <c r="N156" t="str">
        <f t="shared" si="8"/>
        <v>hair</v>
      </c>
    </row>
    <row r="157" spans="1:14" x14ac:dyDescent="0.3">
      <c r="A157" s="8">
        <v>1156</v>
      </c>
      <c r="B157" s="8" t="s">
        <v>54</v>
      </c>
      <c r="C157" s="8" t="s">
        <v>38</v>
      </c>
      <c r="D157" s="8" t="s">
        <v>13</v>
      </c>
      <c r="E157" s="8" t="s">
        <v>36</v>
      </c>
      <c r="F157" s="8">
        <v>5</v>
      </c>
      <c r="G157" s="8">
        <v>466</v>
      </c>
      <c r="H157" s="8">
        <v>15</v>
      </c>
      <c r="I157" s="9">
        <v>46025</v>
      </c>
      <c r="J157" s="9">
        <v>46029</v>
      </c>
      <c r="K157" s="8" t="s">
        <v>15</v>
      </c>
      <c r="L157" t="str">
        <f t="shared" si="6"/>
        <v>Man1156</v>
      </c>
      <c r="M157" t="str">
        <f t="shared" si="7"/>
        <v>Staer</v>
      </c>
      <c r="N157" t="str">
        <f t="shared" si="8"/>
        <v>tapl</v>
      </c>
    </row>
    <row r="158" spans="1:14" x14ac:dyDescent="0.3">
      <c r="A158" s="8">
        <v>1157</v>
      </c>
      <c r="B158" s="8" t="s">
        <v>52</v>
      </c>
      <c r="C158" s="8" t="s">
        <v>33</v>
      </c>
      <c r="D158" s="8" t="s">
        <v>13</v>
      </c>
      <c r="E158" s="8" t="s">
        <v>50</v>
      </c>
      <c r="F158" s="8">
        <v>3</v>
      </c>
      <c r="G158" s="8">
        <v>203</v>
      </c>
      <c r="H158" s="8">
        <v>15</v>
      </c>
      <c r="I158" s="9">
        <v>46076</v>
      </c>
      <c r="J158" s="9">
        <v>46080</v>
      </c>
      <c r="K158" s="8" t="s">
        <v>29</v>
      </c>
      <c r="L158" t="str">
        <f t="shared" si="6"/>
        <v>Kom1157</v>
      </c>
      <c r="M158" t="str">
        <f t="shared" si="7"/>
        <v>Marer</v>
      </c>
      <c r="N158" t="str">
        <f t="shared" si="8"/>
        <v>arke</v>
      </c>
    </row>
    <row r="159" spans="1:14" x14ac:dyDescent="0.3">
      <c r="A159" s="8">
        <v>1158</v>
      </c>
      <c r="B159" s="8" t="s">
        <v>26</v>
      </c>
      <c r="C159" s="8" t="s">
        <v>38</v>
      </c>
      <c r="D159" s="8" t="s">
        <v>34</v>
      </c>
      <c r="E159" s="8" t="s">
        <v>41</v>
      </c>
      <c r="F159" s="8">
        <v>13</v>
      </c>
      <c r="G159" s="8">
        <v>12518</v>
      </c>
      <c r="H159" s="8">
        <v>2</v>
      </c>
      <c r="I159" s="9">
        <v>46079</v>
      </c>
      <c r="J159" s="9">
        <v>46082</v>
      </c>
      <c r="K159" s="8" t="s">
        <v>51</v>
      </c>
      <c r="L159" t="str">
        <f t="shared" si="6"/>
        <v>Vik1158</v>
      </c>
      <c r="M159" t="str">
        <f t="shared" si="7"/>
        <v>Heaet</v>
      </c>
      <c r="N159" t="str">
        <f t="shared" si="8"/>
        <v>eads</v>
      </c>
    </row>
    <row r="160" spans="1:14" x14ac:dyDescent="0.3">
      <c r="A160" s="8">
        <v>1159</v>
      </c>
      <c r="B160" s="8" t="s">
        <v>32</v>
      </c>
      <c r="C160" s="8" t="s">
        <v>43</v>
      </c>
      <c r="D160" s="8" t="s">
        <v>18</v>
      </c>
      <c r="E160" s="8" t="s">
        <v>28</v>
      </c>
      <c r="F160" s="8">
        <v>20</v>
      </c>
      <c r="G160" s="8">
        <v>14000</v>
      </c>
      <c r="H160" s="8">
        <v>15</v>
      </c>
      <c r="I160" s="9">
        <v>46184</v>
      </c>
      <c r="J160" s="9">
        <v>46187</v>
      </c>
      <c r="K160" s="8" t="s">
        <v>15</v>
      </c>
      <c r="L160" t="str">
        <f t="shared" si="6"/>
        <v>Ash1159</v>
      </c>
      <c r="M160" t="str">
        <f t="shared" si="7"/>
        <v>Chair</v>
      </c>
      <c r="N160" t="str">
        <f t="shared" si="8"/>
        <v>hair</v>
      </c>
    </row>
    <row r="161" spans="1:14" x14ac:dyDescent="0.3">
      <c r="A161" s="8">
        <v>1160</v>
      </c>
      <c r="B161" s="8" t="s">
        <v>59</v>
      </c>
      <c r="C161" s="8" t="s">
        <v>22</v>
      </c>
      <c r="D161" s="8" t="s">
        <v>34</v>
      </c>
      <c r="E161" s="8" t="s">
        <v>39</v>
      </c>
      <c r="F161" s="8">
        <v>7</v>
      </c>
      <c r="G161" s="8">
        <v>53986</v>
      </c>
      <c r="H161" s="8">
        <v>10</v>
      </c>
      <c r="I161" s="9">
        <v>46142</v>
      </c>
      <c r="J161" s="9">
        <v>46147</v>
      </c>
      <c r="K161" s="8" t="s">
        <v>51</v>
      </c>
      <c r="L161" t="str">
        <f t="shared" si="6"/>
        <v>Ani1160</v>
      </c>
      <c r="M161" t="str">
        <f t="shared" si="7"/>
        <v>Keyrd</v>
      </c>
      <c r="N161" t="str">
        <f t="shared" si="8"/>
        <v>eybo</v>
      </c>
    </row>
    <row r="162" spans="1:14" x14ac:dyDescent="0.3">
      <c r="A162" s="8">
        <v>1161</v>
      </c>
      <c r="B162" s="8" t="s">
        <v>27</v>
      </c>
      <c r="C162" s="8" t="s">
        <v>25</v>
      </c>
      <c r="D162" s="8" t="s">
        <v>34</v>
      </c>
      <c r="E162" s="8" t="s">
        <v>39</v>
      </c>
      <c r="F162" s="8">
        <v>4</v>
      </c>
      <c r="G162" s="8">
        <v>54659</v>
      </c>
      <c r="H162" s="8">
        <v>7</v>
      </c>
      <c r="I162" s="9">
        <v>46105</v>
      </c>
      <c r="J162" s="9">
        <v>46109</v>
      </c>
      <c r="K162" s="8" t="s">
        <v>20</v>
      </c>
      <c r="L162" t="str">
        <f t="shared" si="6"/>
        <v>Arj1161</v>
      </c>
      <c r="M162" t="str">
        <f t="shared" si="7"/>
        <v>Keyrd</v>
      </c>
      <c r="N162" t="str">
        <f t="shared" si="8"/>
        <v>eybo</v>
      </c>
    </row>
    <row r="163" spans="1:14" x14ac:dyDescent="0.3">
      <c r="A163" s="8">
        <v>1162</v>
      </c>
      <c r="B163" s="8" t="s">
        <v>57</v>
      </c>
      <c r="C163" s="8" t="s">
        <v>31</v>
      </c>
      <c r="D163" s="8" t="s">
        <v>34</v>
      </c>
      <c r="E163" s="8" t="s">
        <v>45</v>
      </c>
      <c r="F163" s="8">
        <v>2</v>
      </c>
      <c r="G163" s="8">
        <v>28176</v>
      </c>
      <c r="H163" s="8">
        <v>10</v>
      </c>
      <c r="I163" s="9">
        <v>46100</v>
      </c>
      <c r="J163" s="9">
        <v>46101</v>
      </c>
      <c r="K163" s="8" t="s">
        <v>20</v>
      </c>
      <c r="L163" t="str">
        <f t="shared" si="6"/>
        <v>Sar1162</v>
      </c>
      <c r="M163" t="str">
        <f t="shared" si="7"/>
        <v>Monor</v>
      </c>
      <c r="N163" t="str">
        <f t="shared" si="8"/>
        <v>onit</v>
      </c>
    </row>
    <row r="164" spans="1:14" x14ac:dyDescent="0.3">
      <c r="A164" s="8">
        <v>1163</v>
      </c>
      <c r="B164" s="8" t="s">
        <v>29</v>
      </c>
      <c r="C164" s="8" t="s">
        <v>38</v>
      </c>
      <c r="D164" s="8" t="s">
        <v>34</v>
      </c>
      <c r="E164" s="8" t="s">
        <v>39</v>
      </c>
      <c r="F164" s="8">
        <v>9</v>
      </c>
      <c r="G164" s="8">
        <v>62440</v>
      </c>
      <c r="H164" s="8">
        <v>2</v>
      </c>
      <c r="I164" s="9">
        <v>46081</v>
      </c>
      <c r="J164" s="9">
        <v>46086</v>
      </c>
      <c r="K164" s="8" t="s">
        <v>29</v>
      </c>
      <c r="L164" t="str">
        <f t="shared" si="6"/>
        <v>Pri1163</v>
      </c>
      <c r="M164" t="str">
        <f t="shared" si="7"/>
        <v>Keyrd</v>
      </c>
      <c r="N164" t="str">
        <f t="shared" si="8"/>
        <v>eybo</v>
      </c>
    </row>
    <row r="165" spans="1:14" x14ac:dyDescent="0.3">
      <c r="A165" s="8">
        <v>1164</v>
      </c>
      <c r="B165" s="8" t="s">
        <v>40</v>
      </c>
      <c r="C165" s="8" t="s">
        <v>43</v>
      </c>
      <c r="D165" s="8" t="s">
        <v>34</v>
      </c>
      <c r="E165" s="8" t="s">
        <v>61</v>
      </c>
      <c r="F165" s="8">
        <v>7</v>
      </c>
      <c r="G165" s="8">
        <v>24615</v>
      </c>
      <c r="H165" s="8">
        <v>12</v>
      </c>
      <c r="I165" s="9">
        <v>46196</v>
      </c>
      <c r="J165" s="9">
        <v>46203</v>
      </c>
      <c r="K165" s="8" t="s">
        <v>51</v>
      </c>
      <c r="L165" t="str">
        <f t="shared" si="6"/>
        <v>Dee1164</v>
      </c>
      <c r="M165" t="str">
        <f t="shared" si="7"/>
        <v>Mouse</v>
      </c>
      <c r="N165" t="str">
        <f t="shared" si="8"/>
        <v>ouse</v>
      </c>
    </row>
    <row r="166" spans="1:14" x14ac:dyDescent="0.3">
      <c r="A166" s="8">
        <v>1165</v>
      </c>
      <c r="B166" s="8" t="s">
        <v>48</v>
      </c>
      <c r="C166" s="8" t="s">
        <v>25</v>
      </c>
      <c r="D166" s="8" t="s">
        <v>13</v>
      </c>
      <c r="E166" s="8" t="s">
        <v>37</v>
      </c>
      <c r="F166" s="8">
        <v>1</v>
      </c>
      <c r="G166" s="8">
        <v>427</v>
      </c>
      <c r="H166" s="8">
        <v>0</v>
      </c>
      <c r="I166" s="9">
        <v>46042</v>
      </c>
      <c r="J166" s="9">
        <v>46050</v>
      </c>
      <c r="K166" s="8" t="s">
        <v>51</v>
      </c>
      <c r="L166" t="str">
        <f t="shared" si="6"/>
        <v>Nit1165</v>
      </c>
      <c r="M166" t="str">
        <f t="shared" si="7"/>
        <v>Penck</v>
      </c>
      <c r="N166" t="str">
        <f t="shared" si="8"/>
        <v>en P</v>
      </c>
    </row>
    <row r="167" spans="1:14" x14ac:dyDescent="0.3">
      <c r="A167" s="8">
        <v>1166</v>
      </c>
      <c r="B167" s="8" t="s">
        <v>32</v>
      </c>
      <c r="C167" s="8" t="s">
        <v>31</v>
      </c>
      <c r="D167" s="8" t="s">
        <v>13</v>
      </c>
      <c r="E167" s="8" t="s">
        <v>37</v>
      </c>
      <c r="F167" s="8">
        <v>1</v>
      </c>
      <c r="G167" s="8">
        <v>396</v>
      </c>
      <c r="H167" s="8">
        <v>5</v>
      </c>
      <c r="I167" s="9">
        <v>46092</v>
      </c>
      <c r="J167" s="9">
        <v>46093</v>
      </c>
      <c r="K167" s="8" t="s">
        <v>20</v>
      </c>
      <c r="L167" t="str">
        <f t="shared" si="6"/>
        <v>Ash1166</v>
      </c>
      <c r="M167" t="str">
        <f t="shared" si="7"/>
        <v>Penck</v>
      </c>
      <c r="N167" t="str">
        <f t="shared" si="8"/>
        <v>en P</v>
      </c>
    </row>
    <row r="168" spans="1:14" x14ac:dyDescent="0.3">
      <c r="A168" s="8">
        <v>1167</v>
      </c>
      <c r="B168" s="8" t="s">
        <v>48</v>
      </c>
      <c r="C168" s="8" t="s">
        <v>17</v>
      </c>
      <c r="D168" s="8" t="s">
        <v>13</v>
      </c>
      <c r="E168" s="8" t="s">
        <v>37</v>
      </c>
      <c r="F168" s="8">
        <v>20</v>
      </c>
      <c r="G168" s="8">
        <v>251</v>
      </c>
      <c r="H168" s="8">
        <v>5</v>
      </c>
      <c r="I168" s="9">
        <v>46160</v>
      </c>
      <c r="J168" s="9">
        <v>46170</v>
      </c>
      <c r="K168" s="8" t="s">
        <v>29</v>
      </c>
      <c r="L168" t="str">
        <f t="shared" si="6"/>
        <v>Nit1167</v>
      </c>
      <c r="M168" t="str">
        <f t="shared" si="7"/>
        <v>Penck</v>
      </c>
      <c r="N168" t="str">
        <f t="shared" si="8"/>
        <v>en P</v>
      </c>
    </row>
    <row r="169" spans="1:14" x14ac:dyDescent="0.3">
      <c r="A169" s="8">
        <v>1168</v>
      </c>
      <c r="B169" s="8" t="s">
        <v>54</v>
      </c>
      <c r="C169" s="8" t="s">
        <v>12</v>
      </c>
      <c r="D169" s="8" t="s">
        <v>13</v>
      </c>
      <c r="E169" s="8" t="s">
        <v>37</v>
      </c>
      <c r="F169" s="8">
        <v>18</v>
      </c>
      <c r="G169" s="8">
        <v>335</v>
      </c>
      <c r="H169" s="8">
        <v>15</v>
      </c>
      <c r="I169" s="9">
        <v>46130</v>
      </c>
      <c r="J169" s="9">
        <v>46140</v>
      </c>
      <c r="K169" s="8" t="s">
        <v>29</v>
      </c>
      <c r="L169" t="str">
        <f t="shared" si="6"/>
        <v>Man1168</v>
      </c>
      <c r="M169" t="str">
        <f t="shared" si="7"/>
        <v>Penck</v>
      </c>
      <c r="N169" t="str">
        <f t="shared" si="8"/>
        <v>en P</v>
      </c>
    </row>
    <row r="170" spans="1:14" x14ac:dyDescent="0.3">
      <c r="A170" s="8">
        <v>1169</v>
      </c>
      <c r="B170" s="8" t="s">
        <v>47</v>
      </c>
      <c r="C170" s="8" t="s">
        <v>12</v>
      </c>
      <c r="D170" s="8" t="s">
        <v>18</v>
      </c>
      <c r="E170" s="8" t="s">
        <v>56</v>
      </c>
      <c r="F170" s="8">
        <v>12</v>
      </c>
      <c r="G170" s="8">
        <v>12104</v>
      </c>
      <c r="H170" s="8">
        <v>7</v>
      </c>
      <c r="I170" s="9">
        <v>46121</v>
      </c>
      <c r="J170" s="9">
        <v>46130</v>
      </c>
      <c r="K170" s="8" t="s">
        <v>24</v>
      </c>
      <c r="L170" t="str">
        <f t="shared" si="6"/>
        <v>Yas1169</v>
      </c>
      <c r="M170" t="str">
        <f t="shared" si="7"/>
        <v>Cabet</v>
      </c>
      <c r="N170" t="str">
        <f t="shared" si="8"/>
        <v>abin</v>
      </c>
    </row>
    <row r="171" spans="1:14" x14ac:dyDescent="0.3">
      <c r="A171" s="8">
        <v>1170</v>
      </c>
      <c r="B171" s="8" t="s">
        <v>49</v>
      </c>
      <c r="C171" s="8" t="s">
        <v>38</v>
      </c>
      <c r="D171" s="8" t="s">
        <v>13</v>
      </c>
      <c r="E171" s="8" t="s">
        <v>14</v>
      </c>
      <c r="F171" s="8">
        <v>6</v>
      </c>
      <c r="G171" s="8">
        <v>339</v>
      </c>
      <c r="H171" s="8">
        <v>12</v>
      </c>
      <c r="I171" s="9">
        <v>46105</v>
      </c>
      <c r="J171" s="9">
        <v>46106</v>
      </c>
      <c r="K171" s="8" t="s">
        <v>24</v>
      </c>
      <c r="L171" t="str">
        <f t="shared" si="6"/>
        <v>Aja1170</v>
      </c>
      <c r="M171" t="str">
        <f t="shared" si="7"/>
        <v>Notok</v>
      </c>
      <c r="N171" t="str">
        <f t="shared" si="8"/>
        <v>oteb</v>
      </c>
    </row>
    <row r="172" spans="1:14" x14ac:dyDescent="0.3">
      <c r="A172" s="8">
        <v>1171</v>
      </c>
      <c r="B172" s="8" t="s">
        <v>57</v>
      </c>
      <c r="C172" s="8" t="s">
        <v>25</v>
      </c>
      <c r="D172" s="8" t="s">
        <v>13</v>
      </c>
      <c r="E172" s="8" t="s">
        <v>50</v>
      </c>
      <c r="F172" s="8">
        <v>17</v>
      </c>
      <c r="G172" s="8">
        <v>147</v>
      </c>
      <c r="H172" s="8">
        <v>12</v>
      </c>
      <c r="I172" s="9">
        <v>46155</v>
      </c>
      <c r="J172" s="9">
        <v>46160</v>
      </c>
      <c r="K172" s="8" t="s">
        <v>20</v>
      </c>
      <c r="L172" t="str">
        <f t="shared" si="6"/>
        <v>Sar1171</v>
      </c>
      <c r="M172" t="str">
        <f t="shared" si="7"/>
        <v>Marer</v>
      </c>
      <c r="N172" t="str">
        <f t="shared" si="8"/>
        <v>arke</v>
      </c>
    </row>
    <row r="173" spans="1:14" x14ac:dyDescent="0.3">
      <c r="A173" s="8">
        <v>1172</v>
      </c>
      <c r="B173" s="8" t="s">
        <v>16</v>
      </c>
      <c r="C173" s="8" t="s">
        <v>12</v>
      </c>
      <c r="D173" s="8" t="s">
        <v>34</v>
      </c>
      <c r="E173" s="8" t="s">
        <v>45</v>
      </c>
      <c r="F173" s="8">
        <v>13</v>
      </c>
      <c r="G173" s="8">
        <v>43163</v>
      </c>
      <c r="H173" s="8">
        <v>12</v>
      </c>
      <c r="I173" s="9">
        <v>46120</v>
      </c>
      <c r="J173" s="9">
        <v>46129</v>
      </c>
      <c r="K173" s="8" t="s">
        <v>24</v>
      </c>
      <c r="L173" t="str">
        <f t="shared" si="6"/>
        <v>Poo1172</v>
      </c>
      <c r="M173" t="str">
        <f t="shared" si="7"/>
        <v>Monor</v>
      </c>
      <c r="N173" t="str">
        <f t="shared" si="8"/>
        <v>onit</v>
      </c>
    </row>
    <row r="174" spans="1:14" x14ac:dyDescent="0.3">
      <c r="A174" s="8">
        <v>1173</v>
      </c>
      <c r="B174" s="8" t="s">
        <v>40</v>
      </c>
      <c r="C174" s="8" t="s">
        <v>17</v>
      </c>
      <c r="D174" s="8" t="s">
        <v>13</v>
      </c>
      <c r="E174" s="8" t="s">
        <v>37</v>
      </c>
      <c r="F174" s="8">
        <v>15</v>
      </c>
      <c r="G174" s="8">
        <v>214</v>
      </c>
      <c r="H174" s="8">
        <v>10</v>
      </c>
      <c r="I174" s="9">
        <v>46050</v>
      </c>
      <c r="J174" s="9">
        <v>46060</v>
      </c>
      <c r="K174" s="8" t="s">
        <v>51</v>
      </c>
      <c r="L174" t="str">
        <f t="shared" si="6"/>
        <v>Dee1173</v>
      </c>
      <c r="M174" t="str">
        <f t="shared" si="7"/>
        <v>Penck</v>
      </c>
      <c r="N174" t="str">
        <f t="shared" si="8"/>
        <v>en P</v>
      </c>
    </row>
    <row r="175" spans="1:14" x14ac:dyDescent="0.3">
      <c r="A175" s="8">
        <v>1174</v>
      </c>
      <c r="B175" s="8" t="s">
        <v>58</v>
      </c>
      <c r="C175" s="8" t="s">
        <v>38</v>
      </c>
      <c r="D175" s="8" t="s">
        <v>13</v>
      </c>
      <c r="E175" s="8" t="s">
        <v>14</v>
      </c>
      <c r="F175" s="8">
        <v>13</v>
      </c>
      <c r="G175" s="8">
        <v>155</v>
      </c>
      <c r="H175" s="8">
        <v>2</v>
      </c>
      <c r="I175" s="9">
        <v>46066</v>
      </c>
      <c r="J175" s="9">
        <v>46069</v>
      </c>
      <c r="K175" s="8" t="s">
        <v>24</v>
      </c>
      <c r="L175" t="str">
        <f t="shared" si="6"/>
        <v>Roh1174</v>
      </c>
      <c r="M175" t="str">
        <f t="shared" si="7"/>
        <v>Notok</v>
      </c>
      <c r="N175" t="str">
        <f t="shared" si="8"/>
        <v>oteb</v>
      </c>
    </row>
    <row r="176" spans="1:14" x14ac:dyDescent="0.3">
      <c r="A176" s="8">
        <v>1175</v>
      </c>
      <c r="B176" s="8" t="s">
        <v>26</v>
      </c>
      <c r="C176" s="8" t="s">
        <v>17</v>
      </c>
      <c r="D176" s="8" t="s">
        <v>34</v>
      </c>
      <c r="E176" s="8" t="s">
        <v>41</v>
      </c>
      <c r="F176" s="8">
        <v>10</v>
      </c>
      <c r="G176" s="8">
        <v>20339</v>
      </c>
      <c r="H176" s="8">
        <v>2</v>
      </c>
      <c r="I176" s="9">
        <v>46088</v>
      </c>
      <c r="J176" s="9">
        <v>46094</v>
      </c>
      <c r="K176" s="8" t="s">
        <v>20</v>
      </c>
      <c r="L176" t="str">
        <f t="shared" si="6"/>
        <v>Vik1175</v>
      </c>
      <c r="M176" t="str">
        <f t="shared" si="7"/>
        <v>Heaet</v>
      </c>
      <c r="N176" t="str">
        <f t="shared" si="8"/>
        <v>eads</v>
      </c>
    </row>
    <row r="177" spans="1:14" x14ac:dyDescent="0.3">
      <c r="A177" s="8">
        <v>1176</v>
      </c>
      <c r="B177" s="8" t="s">
        <v>58</v>
      </c>
      <c r="C177" s="8" t="s">
        <v>38</v>
      </c>
      <c r="D177" s="8" t="s">
        <v>34</v>
      </c>
      <c r="E177" s="8" t="s">
        <v>41</v>
      </c>
      <c r="F177" s="8">
        <v>17</v>
      </c>
      <c r="G177" s="8">
        <v>46937</v>
      </c>
      <c r="H177" s="8">
        <v>12</v>
      </c>
      <c r="I177" s="9">
        <v>46048</v>
      </c>
      <c r="J177" s="9">
        <v>46056</v>
      </c>
      <c r="K177" s="8" t="s">
        <v>29</v>
      </c>
      <c r="L177" t="str">
        <f t="shared" si="6"/>
        <v>Roh1176</v>
      </c>
      <c r="M177" t="str">
        <f t="shared" si="7"/>
        <v>Heaet</v>
      </c>
      <c r="N177" t="str">
        <f t="shared" si="8"/>
        <v>eads</v>
      </c>
    </row>
    <row r="178" spans="1:14" x14ac:dyDescent="0.3">
      <c r="A178" s="8">
        <v>1177</v>
      </c>
      <c r="B178" s="8" t="s">
        <v>29</v>
      </c>
      <c r="C178" s="8" t="s">
        <v>22</v>
      </c>
      <c r="D178" s="8" t="s">
        <v>18</v>
      </c>
      <c r="E178" s="8" t="s">
        <v>19</v>
      </c>
      <c r="F178" s="8">
        <v>14</v>
      </c>
      <c r="G178" s="8">
        <v>7501</v>
      </c>
      <c r="H178" s="8">
        <v>7</v>
      </c>
      <c r="I178" s="9">
        <v>46169</v>
      </c>
      <c r="J178" s="9">
        <v>46179</v>
      </c>
      <c r="K178" s="8" t="s">
        <v>20</v>
      </c>
      <c r="L178" t="str">
        <f t="shared" si="6"/>
        <v>Pri1177</v>
      </c>
      <c r="M178" t="str">
        <f t="shared" si="7"/>
        <v>Dessk</v>
      </c>
      <c r="N178" t="str">
        <f t="shared" si="8"/>
        <v>esk</v>
      </c>
    </row>
    <row r="179" spans="1:14" x14ac:dyDescent="0.3">
      <c r="A179" s="8">
        <v>1178</v>
      </c>
      <c r="B179" s="8" t="s">
        <v>57</v>
      </c>
      <c r="C179" s="8" t="s">
        <v>17</v>
      </c>
      <c r="D179" s="8" t="s">
        <v>13</v>
      </c>
      <c r="E179" s="8" t="s">
        <v>50</v>
      </c>
      <c r="F179" s="8">
        <v>5</v>
      </c>
      <c r="G179" s="8">
        <v>50</v>
      </c>
      <c r="H179" s="8">
        <v>0</v>
      </c>
      <c r="I179" s="9">
        <v>46111</v>
      </c>
      <c r="J179" s="9">
        <v>46117</v>
      </c>
      <c r="K179" s="8" t="s">
        <v>20</v>
      </c>
      <c r="L179" t="str">
        <f t="shared" si="6"/>
        <v>Sar1178</v>
      </c>
      <c r="M179" t="str">
        <f t="shared" si="7"/>
        <v>Marer</v>
      </c>
      <c r="N179" t="str">
        <f t="shared" si="8"/>
        <v>arke</v>
      </c>
    </row>
    <row r="180" spans="1:14" x14ac:dyDescent="0.3">
      <c r="A180" s="8">
        <v>1179</v>
      </c>
      <c r="B180" s="8" t="s">
        <v>47</v>
      </c>
      <c r="C180" s="8" t="s">
        <v>17</v>
      </c>
      <c r="D180" s="8" t="s">
        <v>34</v>
      </c>
      <c r="E180" s="8" t="s">
        <v>39</v>
      </c>
      <c r="F180" s="8">
        <v>6</v>
      </c>
      <c r="G180" s="8">
        <v>10400</v>
      </c>
      <c r="H180" s="8">
        <v>2</v>
      </c>
      <c r="I180" s="9">
        <v>46155</v>
      </c>
      <c r="J180" s="9">
        <v>46158</v>
      </c>
      <c r="K180" s="8" t="s">
        <v>15</v>
      </c>
      <c r="L180" t="str">
        <f t="shared" si="6"/>
        <v>Yas1179</v>
      </c>
      <c r="M180" t="str">
        <f t="shared" si="7"/>
        <v>Keyrd</v>
      </c>
      <c r="N180" t="str">
        <f t="shared" si="8"/>
        <v>eybo</v>
      </c>
    </row>
    <row r="181" spans="1:14" x14ac:dyDescent="0.3">
      <c r="A181" s="8">
        <v>1180</v>
      </c>
      <c r="B181" s="8" t="s">
        <v>40</v>
      </c>
      <c r="C181" s="8" t="s">
        <v>31</v>
      </c>
      <c r="D181" s="8" t="s">
        <v>18</v>
      </c>
      <c r="E181" s="8" t="s">
        <v>28</v>
      </c>
      <c r="F181" s="8">
        <v>2</v>
      </c>
      <c r="G181" s="8">
        <v>2076</v>
      </c>
      <c r="H181" s="8">
        <v>2</v>
      </c>
      <c r="I181" s="9">
        <v>46111</v>
      </c>
      <c r="J181" s="9">
        <v>46121</v>
      </c>
      <c r="K181" s="8" t="s">
        <v>29</v>
      </c>
      <c r="L181" t="str">
        <f t="shared" si="6"/>
        <v>Dee1180</v>
      </c>
      <c r="M181" t="str">
        <f t="shared" si="7"/>
        <v>Chair</v>
      </c>
      <c r="N181" t="str">
        <f t="shared" si="8"/>
        <v>hair</v>
      </c>
    </row>
    <row r="182" spans="1:14" x14ac:dyDescent="0.3">
      <c r="A182" s="8">
        <v>1181</v>
      </c>
      <c r="B182" s="8" t="s">
        <v>58</v>
      </c>
      <c r="C182" s="8" t="s">
        <v>33</v>
      </c>
      <c r="D182" s="8" t="s">
        <v>13</v>
      </c>
      <c r="E182" s="8" t="s">
        <v>36</v>
      </c>
      <c r="F182" s="8">
        <v>4</v>
      </c>
      <c r="G182" s="8">
        <v>357</v>
      </c>
      <c r="H182" s="8">
        <v>2</v>
      </c>
      <c r="I182" s="9">
        <v>46033</v>
      </c>
      <c r="J182" s="9">
        <v>46035</v>
      </c>
      <c r="K182" s="8" t="s">
        <v>15</v>
      </c>
      <c r="L182" t="str">
        <f t="shared" si="6"/>
        <v>Roh1181</v>
      </c>
      <c r="M182" t="str">
        <f t="shared" si="7"/>
        <v>Staer</v>
      </c>
      <c r="N182" t="str">
        <f t="shared" si="8"/>
        <v>tapl</v>
      </c>
    </row>
    <row r="183" spans="1:14" x14ac:dyDescent="0.3">
      <c r="A183" s="8">
        <v>1182</v>
      </c>
      <c r="B183" s="8" t="s">
        <v>42</v>
      </c>
      <c r="C183" s="8" t="s">
        <v>12</v>
      </c>
      <c r="D183" s="8" t="s">
        <v>34</v>
      </c>
      <c r="E183" s="8" t="s">
        <v>39</v>
      </c>
      <c r="F183" s="8">
        <v>8</v>
      </c>
      <c r="G183" s="8">
        <v>66022</v>
      </c>
      <c r="H183" s="8">
        <v>12</v>
      </c>
      <c r="I183" s="9">
        <v>46108</v>
      </c>
      <c r="J183" s="9">
        <v>46114</v>
      </c>
      <c r="K183" s="8" t="s">
        <v>24</v>
      </c>
      <c r="L183" t="str">
        <f t="shared" si="6"/>
        <v>Nis1182</v>
      </c>
      <c r="M183" t="str">
        <f t="shared" si="7"/>
        <v>Keyrd</v>
      </c>
      <c r="N183" t="str">
        <f t="shared" si="8"/>
        <v>eybo</v>
      </c>
    </row>
    <row r="184" spans="1:14" x14ac:dyDescent="0.3">
      <c r="A184" s="8">
        <v>1183</v>
      </c>
      <c r="B184" s="8" t="s">
        <v>52</v>
      </c>
      <c r="C184" s="8" t="s">
        <v>43</v>
      </c>
      <c r="D184" s="8" t="s">
        <v>13</v>
      </c>
      <c r="E184" s="8" t="s">
        <v>14</v>
      </c>
      <c r="F184" s="8">
        <v>2</v>
      </c>
      <c r="G184" s="8">
        <v>309</v>
      </c>
      <c r="H184" s="8">
        <v>2</v>
      </c>
      <c r="I184" s="9">
        <v>46109</v>
      </c>
      <c r="J184" s="9">
        <v>46111</v>
      </c>
      <c r="K184" s="8" t="s">
        <v>20</v>
      </c>
      <c r="L184" t="str">
        <f t="shared" si="6"/>
        <v>Kom1183</v>
      </c>
      <c r="M184" t="str">
        <f t="shared" si="7"/>
        <v>Notok</v>
      </c>
      <c r="N184" t="str">
        <f t="shared" si="8"/>
        <v>oteb</v>
      </c>
    </row>
    <row r="185" spans="1:14" x14ac:dyDescent="0.3">
      <c r="A185" s="8">
        <v>1184</v>
      </c>
      <c r="B185" s="8" t="s">
        <v>40</v>
      </c>
      <c r="C185" s="8" t="s">
        <v>31</v>
      </c>
      <c r="D185" s="8" t="s">
        <v>34</v>
      </c>
      <c r="E185" s="8" t="s">
        <v>39</v>
      </c>
      <c r="F185" s="8">
        <v>12</v>
      </c>
      <c r="G185" s="8">
        <v>50517</v>
      </c>
      <c r="H185" s="8">
        <v>15</v>
      </c>
      <c r="I185" s="9">
        <v>46145</v>
      </c>
      <c r="J185" s="9">
        <v>46153</v>
      </c>
      <c r="K185" s="8" t="s">
        <v>29</v>
      </c>
      <c r="L185" t="str">
        <f t="shared" si="6"/>
        <v>Dee1184</v>
      </c>
      <c r="M185" t="str">
        <f t="shared" si="7"/>
        <v>Keyrd</v>
      </c>
      <c r="N185" t="str">
        <f t="shared" si="8"/>
        <v>eybo</v>
      </c>
    </row>
    <row r="186" spans="1:14" x14ac:dyDescent="0.3">
      <c r="A186" s="8">
        <v>1185</v>
      </c>
      <c r="B186" s="8" t="s">
        <v>58</v>
      </c>
      <c r="C186" s="8" t="s">
        <v>22</v>
      </c>
      <c r="D186" s="8" t="s">
        <v>34</v>
      </c>
      <c r="E186" s="8" t="s">
        <v>60</v>
      </c>
      <c r="F186" s="8">
        <v>16</v>
      </c>
      <c r="G186" s="8">
        <v>15536</v>
      </c>
      <c r="H186" s="8">
        <v>2</v>
      </c>
      <c r="I186" s="9">
        <v>46153</v>
      </c>
      <c r="J186" s="9">
        <v>46156</v>
      </c>
      <c r="K186" s="8" t="s">
        <v>15</v>
      </c>
      <c r="L186" t="str">
        <f t="shared" si="6"/>
        <v>Roh1185</v>
      </c>
      <c r="M186" t="str">
        <f t="shared" si="7"/>
        <v>Lapop</v>
      </c>
      <c r="N186" t="str">
        <f t="shared" si="8"/>
        <v>apto</v>
      </c>
    </row>
    <row r="187" spans="1:14" x14ac:dyDescent="0.3">
      <c r="A187" s="8">
        <v>1186</v>
      </c>
      <c r="B187" s="8" t="s">
        <v>16</v>
      </c>
      <c r="C187" s="8" t="s">
        <v>25</v>
      </c>
      <c r="D187" s="8" t="s">
        <v>18</v>
      </c>
      <c r="E187" s="8" t="s">
        <v>44</v>
      </c>
      <c r="F187" s="8">
        <v>10</v>
      </c>
      <c r="G187" s="8">
        <v>14951</v>
      </c>
      <c r="H187" s="8">
        <v>2</v>
      </c>
      <c r="I187" s="9">
        <v>46188</v>
      </c>
      <c r="J187" s="9">
        <v>46196</v>
      </c>
      <c r="K187" s="8" t="s">
        <v>24</v>
      </c>
      <c r="L187" t="str">
        <f t="shared" si="6"/>
        <v>Poo1186</v>
      </c>
      <c r="M187" t="str">
        <f t="shared" si="7"/>
        <v>Boolf</v>
      </c>
      <c r="N187" t="str">
        <f t="shared" si="8"/>
        <v>ooks</v>
      </c>
    </row>
    <row r="188" spans="1:14" x14ac:dyDescent="0.3">
      <c r="A188" s="8">
        <v>1187</v>
      </c>
      <c r="B188" s="8" t="s">
        <v>54</v>
      </c>
      <c r="C188" s="8" t="s">
        <v>22</v>
      </c>
      <c r="D188" s="8" t="s">
        <v>34</v>
      </c>
      <c r="E188" s="8" t="s">
        <v>45</v>
      </c>
      <c r="F188" s="8">
        <v>18</v>
      </c>
      <c r="G188" s="8">
        <v>68527</v>
      </c>
      <c r="H188" s="8">
        <v>12</v>
      </c>
      <c r="I188" s="9">
        <v>46178</v>
      </c>
      <c r="J188" s="9">
        <v>46184</v>
      </c>
      <c r="K188" s="8" t="s">
        <v>51</v>
      </c>
      <c r="L188" t="str">
        <f t="shared" si="6"/>
        <v>Man1187</v>
      </c>
      <c r="M188" t="str">
        <f t="shared" si="7"/>
        <v>Monor</v>
      </c>
      <c r="N188" t="str">
        <f t="shared" si="8"/>
        <v>onit</v>
      </c>
    </row>
    <row r="189" spans="1:14" x14ac:dyDescent="0.3">
      <c r="A189" s="8">
        <v>1188</v>
      </c>
      <c r="B189" s="8" t="s">
        <v>29</v>
      </c>
      <c r="C189" s="8" t="s">
        <v>22</v>
      </c>
      <c r="D189" s="8" t="s">
        <v>18</v>
      </c>
      <c r="E189" s="8" t="s">
        <v>56</v>
      </c>
      <c r="F189" s="8">
        <v>6</v>
      </c>
      <c r="G189" s="8">
        <v>10368</v>
      </c>
      <c r="H189" s="8">
        <v>7</v>
      </c>
      <c r="I189" s="9">
        <v>46137</v>
      </c>
      <c r="J189" s="9">
        <v>46142</v>
      </c>
      <c r="K189" s="8" t="s">
        <v>15</v>
      </c>
      <c r="L189" t="str">
        <f t="shared" si="6"/>
        <v>Pri1188</v>
      </c>
      <c r="M189" t="str">
        <f t="shared" si="7"/>
        <v>Cabet</v>
      </c>
      <c r="N189" t="str">
        <f t="shared" si="8"/>
        <v>abin</v>
      </c>
    </row>
    <row r="190" spans="1:14" x14ac:dyDescent="0.3">
      <c r="A190" s="8">
        <v>1189</v>
      </c>
      <c r="B190" s="8" t="s">
        <v>49</v>
      </c>
      <c r="C190" s="8" t="s">
        <v>31</v>
      </c>
      <c r="D190" s="8" t="s">
        <v>18</v>
      </c>
      <c r="E190" s="8" t="s">
        <v>56</v>
      </c>
      <c r="F190" s="8">
        <v>12</v>
      </c>
      <c r="G190" s="8">
        <v>8327</v>
      </c>
      <c r="H190" s="8">
        <v>10</v>
      </c>
      <c r="I190" s="9">
        <v>46184</v>
      </c>
      <c r="J190" s="9">
        <v>46185</v>
      </c>
      <c r="K190" s="8" t="s">
        <v>29</v>
      </c>
      <c r="L190" t="str">
        <f t="shared" si="6"/>
        <v>Aja1189</v>
      </c>
      <c r="M190" t="str">
        <f t="shared" si="7"/>
        <v>Cabet</v>
      </c>
      <c r="N190" t="str">
        <f t="shared" si="8"/>
        <v>abin</v>
      </c>
    </row>
    <row r="191" spans="1:14" x14ac:dyDescent="0.3">
      <c r="A191" s="8">
        <v>1190</v>
      </c>
      <c r="B191" s="8" t="s">
        <v>57</v>
      </c>
      <c r="C191" s="8" t="s">
        <v>17</v>
      </c>
      <c r="D191" s="8" t="s">
        <v>18</v>
      </c>
      <c r="E191" s="8" t="s">
        <v>28</v>
      </c>
      <c r="F191" s="8">
        <v>4</v>
      </c>
      <c r="G191" s="8">
        <v>10154</v>
      </c>
      <c r="H191" s="8">
        <v>7</v>
      </c>
      <c r="I191" s="9">
        <v>46052</v>
      </c>
      <c r="J191" s="9">
        <v>46062</v>
      </c>
      <c r="K191" s="8" t="s">
        <v>20</v>
      </c>
      <c r="L191" t="str">
        <f t="shared" si="6"/>
        <v>Sar1190</v>
      </c>
      <c r="M191" t="str">
        <f t="shared" si="7"/>
        <v>Chair</v>
      </c>
      <c r="N191" t="str">
        <f t="shared" si="8"/>
        <v>hair</v>
      </c>
    </row>
    <row r="192" spans="1:14" x14ac:dyDescent="0.3">
      <c r="A192" s="8">
        <v>1191</v>
      </c>
      <c r="B192" s="8" t="s">
        <v>52</v>
      </c>
      <c r="C192" s="8" t="s">
        <v>33</v>
      </c>
      <c r="D192" s="8" t="s">
        <v>18</v>
      </c>
      <c r="E192" s="8" t="s">
        <v>56</v>
      </c>
      <c r="F192" s="8">
        <v>9</v>
      </c>
      <c r="G192" s="8">
        <v>8631</v>
      </c>
      <c r="H192" s="8">
        <v>10</v>
      </c>
      <c r="I192" s="9">
        <v>46149</v>
      </c>
      <c r="J192" s="9">
        <v>46156</v>
      </c>
      <c r="K192" s="8" t="s">
        <v>20</v>
      </c>
      <c r="L192" t="str">
        <f t="shared" si="6"/>
        <v>Kom1191</v>
      </c>
      <c r="M192" t="str">
        <f t="shared" si="7"/>
        <v>Cabet</v>
      </c>
      <c r="N192" t="str">
        <f t="shared" si="8"/>
        <v>abin</v>
      </c>
    </row>
    <row r="193" spans="1:14" x14ac:dyDescent="0.3">
      <c r="A193" s="8">
        <v>1192</v>
      </c>
      <c r="B193" s="8" t="s">
        <v>21</v>
      </c>
      <c r="C193" s="8" t="s">
        <v>33</v>
      </c>
      <c r="D193" s="8" t="s">
        <v>13</v>
      </c>
      <c r="E193" s="8" t="s">
        <v>53</v>
      </c>
      <c r="F193" s="8">
        <v>18</v>
      </c>
      <c r="G193" s="8">
        <v>49</v>
      </c>
      <c r="H193" s="8">
        <v>12</v>
      </c>
      <c r="I193" s="9">
        <v>46089</v>
      </c>
      <c r="J193" s="9">
        <v>46095</v>
      </c>
      <c r="K193" s="8" t="s">
        <v>24</v>
      </c>
      <c r="L193" t="str">
        <f t="shared" si="6"/>
        <v>Mee1192</v>
      </c>
      <c r="M193" t="str">
        <f t="shared" si="7"/>
        <v>Diary</v>
      </c>
      <c r="N193" t="str">
        <f t="shared" si="8"/>
        <v>iary</v>
      </c>
    </row>
    <row r="194" spans="1:14" x14ac:dyDescent="0.3">
      <c r="A194" s="8">
        <v>1193</v>
      </c>
      <c r="B194" s="8" t="s">
        <v>57</v>
      </c>
      <c r="C194" s="8" t="s">
        <v>12</v>
      </c>
      <c r="D194" s="8" t="s">
        <v>18</v>
      </c>
      <c r="E194" s="8" t="s">
        <v>23</v>
      </c>
      <c r="F194" s="8">
        <v>19</v>
      </c>
      <c r="G194" s="8">
        <v>2699</v>
      </c>
      <c r="H194" s="8">
        <v>7</v>
      </c>
      <c r="I194" s="9">
        <v>46110</v>
      </c>
      <c r="J194" s="9">
        <v>46112</v>
      </c>
      <c r="K194" s="8" t="s">
        <v>29</v>
      </c>
      <c r="L194" t="str">
        <f t="shared" si="6"/>
        <v>Sar1193</v>
      </c>
      <c r="M194" t="str">
        <f t="shared" si="7"/>
        <v>Table</v>
      </c>
      <c r="N194" t="str">
        <f t="shared" si="8"/>
        <v>able</v>
      </c>
    </row>
    <row r="195" spans="1:14" x14ac:dyDescent="0.3">
      <c r="A195" s="8">
        <v>1194</v>
      </c>
      <c r="B195" s="8" t="s">
        <v>57</v>
      </c>
      <c r="C195" s="8" t="s">
        <v>43</v>
      </c>
      <c r="D195" s="8" t="s">
        <v>18</v>
      </c>
      <c r="E195" s="8" t="s">
        <v>28</v>
      </c>
      <c r="F195" s="8">
        <v>13</v>
      </c>
      <c r="G195" s="8">
        <v>12856</v>
      </c>
      <c r="H195" s="8">
        <v>15</v>
      </c>
      <c r="I195" s="9">
        <v>46129</v>
      </c>
      <c r="J195" s="9">
        <v>46133</v>
      </c>
      <c r="K195" s="8" t="s">
        <v>51</v>
      </c>
      <c r="L195" t="str">
        <f t="shared" ref="L195:L258" si="9">LEFT(B195, 3)&amp;A195</f>
        <v>Sar1194</v>
      </c>
      <c r="M195" t="str">
        <f t="shared" ref="M195:M258" si="10">LEFT(E195, 3)&amp; RIGHT(E195, 2)</f>
        <v>Chair</v>
      </c>
      <c r="N195" t="str">
        <f t="shared" ref="N195:N258" si="11">MID(E195, 2, 4)</f>
        <v>hair</v>
      </c>
    </row>
    <row r="196" spans="1:14" x14ac:dyDescent="0.3">
      <c r="A196" s="8">
        <v>1195</v>
      </c>
      <c r="B196" s="8" t="s">
        <v>59</v>
      </c>
      <c r="C196" s="8" t="s">
        <v>17</v>
      </c>
      <c r="D196" s="8" t="s">
        <v>13</v>
      </c>
      <c r="E196" s="8" t="s">
        <v>50</v>
      </c>
      <c r="F196" s="8">
        <v>19</v>
      </c>
      <c r="G196" s="8">
        <v>313</v>
      </c>
      <c r="H196" s="8">
        <v>2</v>
      </c>
      <c r="I196" s="9">
        <v>46198</v>
      </c>
      <c r="J196" s="9">
        <v>46206</v>
      </c>
      <c r="K196" s="8" t="s">
        <v>51</v>
      </c>
      <c r="L196" t="str">
        <f t="shared" si="9"/>
        <v>Ani1195</v>
      </c>
      <c r="M196" t="str">
        <f t="shared" si="10"/>
        <v>Marer</v>
      </c>
      <c r="N196" t="str">
        <f t="shared" si="11"/>
        <v>arke</v>
      </c>
    </row>
    <row r="197" spans="1:14" x14ac:dyDescent="0.3">
      <c r="A197" s="8">
        <v>1196</v>
      </c>
      <c r="B197" s="8" t="s">
        <v>48</v>
      </c>
      <c r="C197" s="8" t="s">
        <v>22</v>
      </c>
      <c r="D197" s="8" t="s">
        <v>34</v>
      </c>
      <c r="E197" s="8" t="s">
        <v>35</v>
      </c>
      <c r="F197" s="8">
        <v>20</v>
      </c>
      <c r="G197" s="8">
        <v>3172</v>
      </c>
      <c r="H197" s="8">
        <v>5</v>
      </c>
      <c r="I197" s="9">
        <v>46155</v>
      </c>
      <c r="J197" s="9">
        <v>46159</v>
      </c>
      <c r="K197" s="8" t="s">
        <v>20</v>
      </c>
      <c r="L197" t="str">
        <f t="shared" si="9"/>
        <v>Nit1196</v>
      </c>
      <c r="M197" t="str">
        <f t="shared" si="10"/>
        <v>Prier</v>
      </c>
      <c r="N197" t="str">
        <f t="shared" si="11"/>
        <v>rint</v>
      </c>
    </row>
    <row r="198" spans="1:14" x14ac:dyDescent="0.3">
      <c r="A198" s="8">
        <v>1197</v>
      </c>
      <c r="B198" s="8" t="s">
        <v>52</v>
      </c>
      <c r="C198" s="8" t="s">
        <v>31</v>
      </c>
      <c r="D198" s="8" t="s">
        <v>34</v>
      </c>
      <c r="E198" s="8" t="s">
        <v>35</v>
      </c>
      <c r="F198" s="8">
        <v>5</v>
      </c>
      <c r="G198" s="8">
        <v>45352</v>
      </c>
      <c r="H198" s="8">
        <v>12</v>
      </c>
      <c r="I198" s="9">
        <v>46045</v>
      </c>
      <c r="J198" s="9">
        <v>46048</v>
      </c>
      <c r="K198" s="8" t="s">
        <v>15</v>
      </c>
      <c r="L198" t="str">
        <f t="shared" si="9"/>
        <v>Kom1197</v>
      </c>
      <c r="M198" t="str">
        <f t="shared" si="10"/>
        <v>Prier</v>
      </c>
      <c r="N198" t="str">
        <f t="shared" si="11"/>
        <v>rint</v>
      </c>
    </row>
    <row r="199" spans="1:14" x14ac:dyDescent="0.3">
      <c r="A199" s="8">
        <v>1198</v>
      </c>
      <c r="B199" s="8" t="s">
        <v>58</v>
      </c>
      <c r="C199" s="8" t="s">
        <v>12</v>
      </c>
      <c r="D199" s="8" t="s">
        <v>13</v>
      </c>
      <c r="E199" s="8" t="s">
        <v>14</v>
      </c>
      <c r="F199" s="8">
        <v>12</v>
      </c>
      <c r="G199" s="8">
        <v>491</v>
      </c>
      <c r="H199" s="8">
        <v>2</v>
      </c>
      <c r="I199" s="9">
        <v>46106</v>
      </c>
      <c r="J199" s="9">
        <v>46109</v>
      </c>
      <c r="K199" s="8" t="s">
        <v>51</v>
      </c>
      <c r="L199" t="str">
        <f t="shared" si="9"/>
        <v>Roh1198</v>
      </c>
      <c r="M199" t="str">
        <f t="shared" si="10"/>
        <v>Notok</v>
      </c>
      <c r="N199" t="str">
        <f t="shared" si="11"/>
        <v>oteb</v>
      </c>
    </row>
    <row r="200" spans="1:14" x14ac:dyDescent="0.3">
      <c r="A200" s="8">
        <v>1199</v>
      </c>
      <c r="B200" s="8" t="s">
        <v>11</v>
      </c>
      <c r="C200" s="8" t="s">
        <v>25</v>
      </c>
      <c r="D200" s="8" t="s">
        <v>34</v>
      </c>
      <c r="E200" s="8" t="s">
        <v>45</v>
      </c>
      <c r="F200" s="8">
        <v>2</v>
      </c>
      <c r="G200" s="8">
        <v>4375</v>
      </c>
      <c r="H200" s="8">
        <v>7</v>
      </c>
      <c r="I200" s="9">
        <v>46178</v>
      </c>
      <c r="J200" s="9">
        <v>46180</v>
      </c>
      <c r="K200" s="8" t="s">
        <v>24</v>
      </c>
      <c r="L200" t="str">
        <f t="shared" si="9"/>
        <v>Rit1199</v>
      </c>
      <c r="M200" t="str">
        <f t="shared" si="10"/>
        <v>Monor</v>
      </c>
      <c r="N200" t="str">
        <f t="shared" si="11"/>
        <v>onit</v>
      </c>
    </row>
    <row r="201" spans="1:14" x14ac:dyDescent="0.3">
      <c r="A201" s="8">
        <v>1200</v>
      </c>
      <c r="B201" s="8" t="s">
        <v>29</v>
      </c>
      <c r="C201" s="8" t="s">
        <v>31</v>
      </c>
      <c r="D201" s="8" t="s">
        <v>34</v>
      </c>
      <c r="E201" s="8" t="s">
        <v>45</v>
      </c>
      <c r="F201" s="8">
        <v>13</v>
      </c>
      <c r="G201" s="8">
        <v>69422</v>
      </c>
      <c r="H201" s="8">
        <v>0</v>
      </c>
      <c r="I201" s="9">
        <v>46134</v>
      </c>
      <c r="J201" s="9">
        <v>46143</v>
      </c>
      <c r="K201" s="8" t="s">
        <v>29</v>
      </c>
      <c r="L201" t="str">
        <f t="shared" si="9"/>
        <v>Pri1200</v>
      </c>
      <c r="M201" t="str">
        <f t="shared" si="10"/>
        <v>Monor</v>
      </c>
      <c r="N201" t="str">
        <f t="shared" si="11"/>
        <v>onit</v>
      </c>
    </row>
    <row r="202" spans="1:14" x14ac:dyDescent="0.3">
      <c r="A202" s="8">
        <v>1201</v>
      </c>
      <c r="B202" s="8" t="s">
        <v>54</v>
      </c>
      <c r="C202" s="8" t="s">
        <v>31</v>
      </c>
      <c r="D202" s="8" t="s">
        <v>13</v>
      </c>
      <c r="E202" s="8" t="s">
        <v>53</v>
      </c>
      <c r="F202" s="8">
        <v>18</v>
      </c>
      <c r="G202" s="8">
        <v>139</v>
      </c>
      <c r="H202" s="8">
        <v>12</v>
      </c>
      <c r="I202" s="9">
        <v>46075</v>
      </c>
      <c r="J202" s="9">
        <v>46076</v>
      </c>
      <c r="K202" s="8" t="s">
        <v>20</v>
      </c>
      <c r="L202" t="str">
        <f t="shared" si="9"/>
        <v>Man1201</v>
      </c>
      <c r="M202" t="str">
        <f t="shared" si="10"/>
        <v>Diary</v>
      </c>
      <c r="N202" t="str">
        <f t="shared" si="11"/>
        <v>iary</v>
      </c>
    </row>
    <row r="203" spans="1:14" x14ac:dyDescent="0.3">
      <c r="A203" s="8">
        <v>1202</v>
      </c>
      <c r="B203" s="8" t="s">
        <v>57</v>
      </c>
      <c r="C203" s="8" t="s">
        <v>22</v>
      </c>
      <c r="D203" s="8" t="s">
        <v>34</v>
      </c>
      <c r="E203" s="8" t="s">
        <v>35</v>
      </c>
      <c r="F203" s="8">
        <v>2</v>
      </c>
      <c r="G203" s="8">
        <v>20312</v>
      </c>
      <c r="H203" s="8">
        <v>12</v>
      </c>
      <c r="I203" s="9">
        <v>46082</v>
      </c>
      <c r="J203" s="9">
        <v>46091</v>
      </c>
      <c r="K203" s="8" t="s">
        <v>15</v>
      </c>
      <c r="L203" t="str">
        <f t="shared" si="9"/>
        <v>Sar1202</v>
      </c>
      <c r="M203" t="str">
        <f t="shared" si="10"/>
        <v>Prier</v>
      </c>
      <c r="N203" t="str">
        <f t="shared" si="11"/>
        <v>rint</v>
      </c>
    </row>
    <row r="204" spans="1:14" x14ac:dyDescent="0.3">
      <c r="A204" s="8">
        <v>1203</v>
      </c>
      <c r="B204" s="8" t="s">
        <v>40</v>
      </c>
      <c r="C204" s="8" t="s">
        <v>22</v>
      </c>
      <c r="D204" s="8" t="s">
        <v>18</v>
      </c>
      <c r="E204" s="8" t="s">
        <v>23</v>
      </c>
      <c r="F204" s="8">
        <v>17</v>
      </c>
      <c r="G204" s="8">
        <v>6695</v>
      </c>
      <c r="H204" s="8">
        <v>2</v>
      </c>
      <c r="I204" s="9">
        <v>46119</v>
      </c>
      <c r="J204" s="9">
        <v>46122</v>
      </c>
      <c r="K204" s="8" t="s">
        <v>51</v>
      </c>
      <c r="L204" t="str">
        <f t="shared" si="9"/>
        <v>Dee1203</v>
      </c>
      <c r="M204" t="str">
        <f t="shared" si="10"/>
        <v>Table</v>
      </c>
      <c r="N204" t="str">
        <f t="shared" si="11"/>
        <v>able</v>
      </c>
    </row>
    <row r="205" spans="1:14" x14ac:dyDescent="0.3">
      <c r="A205" s="8">
        <v>1204</v>
      </c>
      <c r="B205" s="8" t="s">
        <v>16</v>
      </c>
      <c r="C205" s="8" t="s">
        <v>31</v>
      </c>
      <c r="D205" s="8" t="s">
        <v>13</v>
      </c>
      <c r="E205" s="8" t="s">
        <v>37</v>
      </c>
      <c r="F205" s="8">
        <v>13</v>
      </c>
      <c r="G205" s="8">
        <v>416</v>
      </c>
      <c r="H205" s="8">
        <v>10</v>
      </c>
      <c r="I205" s="9">
        <v>46123</v>
      </c>
      <c r="J205" s="9">
        <v>46132</v>
      </c>
      <c r="K205" s="8" t="s">
        <v>20</v>
      </c>
      <c r="L205" t="str">
        <f t="shared" si="9"/>
        <v>Poo1204</v>
      </c>
      <c r="M205" t="str">
        <f t="shared" si="10"/>
        <v>Penck</v>
      </c>
      <c r="N205" t="str">
        <f t="shared" si="11"/>
        <v>en P</v>
      </c>
    </row>
    <row r="206" spans="1:14" x14ac:dyDescent="0.3">
      <c r="A206" s="8">
        <v>1205</v>
      </c>
      <c r="B206" s="8" t="s">
        <v>21</v>
      </c>
      <c r="C206" s="8" t="s">
        <v>38</v>
      </c>
      <c r="D206" s="8" t="s">
        <v>13</v>
      </c>
      <c r="E206" s="8" t="s">
        <v>36</v>
      </c>
      <c r="F206" s="8">
        <v>1</v>
      </c>
      <c r="G206" s="8">
        <v>112</v>
      </c>
      <c r="H206" s="8">
        <v>7</v>
      </c>
      <c r="I206" s="9">
        <v>46033</v>
      </c>
      <c r="J206" s="9">
        <v>46040</v>
      </c>
      <c r="K206" s="8" t="s">
        <v>51</v>
      </c>
      <c r="L206" t="str">
        <f t="shared" si="9"/>
        <v>Mee1205</v>
      </c>
      <c r="M206" t="str">
        <f t="shared" si="10"/>
        <v>Staer</v>
      </c>
      <c r="N206" t="str">
        <f t="shared" si="11"/>
        <v>tapl</v>
      </c>
    </row>
    <row r="207" spans="1:14" x14ac:dyDescent="0.3">
      <c r="A207" s="8">
        <v>1206</v>
      </c>
      <c r="B207" s="8" t="s">
        <v>55</v>
      </c>
      <c r="C207" s="8" t="s">
        <v>33</v>
      </c>
      <c r="D207" s="8" t="s">
        <v>13</v>
      </c>
      <c r="E207" s="8" t="s">
        <v>14</v>
      </c>
      <c r="F207" s="8">
        <v>9</v>
      </c>
      <c r="G207" s="8">
        <v>60</v>
      </c>
      <c r="H207" s="8">
        <v>0</v>
      </c>
      <c r="I207" s="9">
        <v>46166</v>
      </c>
      <c r="J207" s="9">
        <v>46174</v>
      </c>
      <c r="K207" s="8" t="s">
        <v>15</v>
      </c>
      <c r="L207" t="str">
        <f t="shared" si="9"/>
        <v>Sne1206</v>
      </c>
      <c r="M207" t="str">
        <f t="shared" si="10"/>
        <v>Notok</v>
      </c>
      <c r="N207" t="str">
        <f t="shared" si="11"/>
        <v>oteb</v>
      </c>
    </row>
    <row r="208" spans="1:14" x14ac:dyDescent="0.3">
      <c r="A208" s="8">
        <v>1207</v>
      </c>
      <c r="B208" s="8" t="s">
        <v>55</v>
      </c>
      <c r="C208" s="8" t="s">
        <v>25</v>
      </c>
      <c r="D208" s="8" t="s">
        <v>13</v>
      </c>
      <c r="E208" s="8" t="s">
        <v>53</v>
      </c>
      <c r="F208" s="8">
        <v>7</v>
      </c>
      <c r="G208" s="8">
        <v>244</v>
      </c>
      <c r="H208" s="8">
        <v>2</v>
      </c>
      <c r="I208" s="9">
        <v>46164</v>
      </c>
      <c r="J208" s="9">
        <v>46173</v>
      </c>
      <c r="K208" s="8" t="s">
        <v>24</v>
      </c>
      <c r="L208" t="str">
        <f t="shared" si="9"/>
        <v>Sne1207</v>
      </c>
      <c r="M208" t="str">
        <f t="shared" si="10"/>
        <v>Diary</v>
      </c>
      <c r="N208" t="str">
        <f t="shared" si="11"/>
        <v>iary</v>
      </c>
    </row>
    <row r="209" spans="1:14" x14ac:dyDescent="0.3">
      <c r="A209" s="8">
        <v>1208</v>
      </c>
      <c r="B209" s="8" t="s">
        <v>54</v>
      </c>
      <c r="C209" s="8" t="s">
        <v>43</v>
      </c>
      <c r="D209" s="8" t="s">
        <v>18</v>
      </c>
      <c r="E209" s="8" t="s">
        <v>44</v>
      </c>
      <c r="F209" s="8">
        <v>6</v>
      </c>
      <c r="G209" s="8">
        <v>7627</v>
      </c>
      <c r="H209" s="8">
        <v>10</v>
      </c>
      <c r="I209" s="9">
        <v>46042</v>
      </c>
      <c r="J209" s="9">
        <v>46047</v>
      </c>
      <c r="K209" s="8" t="s">
        <v>20</v>
      </c>
      <c r="L209" t="str">
        <f t="shared" si="9"/>
        <v>Man1208</v>
      </c>
      <c r="M209" t="str">
        <f t="shared" si="10"/>
        <v>Boolf</v>
      </c>
      <c r="N209" t="str">
        <f t="shared" si="11"/>
        <v>ooks</v>
      </c>
    </row>
    <row r="210" spans="1:14" x14ac:dyDescent="0.3">
      <c r="A210" s="8">
        <v>1209</v>
      </c>
      <c r="B210" s="8" t="s">
        <v>48</v>
      </c>
      <c r="C210" s="8" t="s">
        <v>38</v>
      </c>
      <c r="D210" s="8" t="s">
        <v>34</v>
      </c>
      <c r="E210" s="8" t="s">
        <v>35</v>
      </c>
      <c r="F210" s="8">
        <v>19</v>
      </c>
      <c r="G210" s="8">
        <v>20284</v>
      </c>
      <c r="H210" s="8">
        <v>10</v>
      </c>
      <c r="I210" s="9">
        <v>46103</v>
      </c>
      <c r="J210" s="9">
        <v>46110</v>
      </c>
      <c r="K210" s="8" t="s">
        <v>20</v>
      </c>
      <c r="L210" t="str">
        <f t="shared" si="9"/>
        <v>Nit1209</v>
      </c>
      <c r="M210" t="str">
        <f t="shared" si="10"/>
        <v>Prier</v>
      </c>
      <c r="N210" t="str">
        <f t="shared" si="11"/>
        <v>rint</v>
      </c>
    </row>
    <row r="211" spans="1:14" x14ac:dyDescent="0.3">
      <c r="A211" s="8">
        <v>1210</v>
      </c>
      <c r="B211" s="8" t="s">
        <v>30</v>
      </c>
      <c r="C211" s="8" t="s">
        <v>31</v>
      </c>
      <c r="D211" s="8" t="s">
        <v>13</v>
      </c>
      <c r="E211" s="8" t="s">
        <v>53</v>
      </c>
      <c r="F211" s="8">
        <v>10</v>
      </c>
      <c r="G211" s="8">
        <v>349</v>
      </c>
      <c r="H211" s="8">
        <v>0</v>
      </c>
      <c r="I211" s="9">
        <v>46052</v>
      </c>
      <c r="J211" s="9">
        <v>46060</v>
      </c>
      <c r="K211" s="8" t="s">
        <v>29</v>
      </c>
      <c r="L211" t="str">
        <f t="shared" si="9"/>
        <v>Neh1210</v>
      </c>
      <c r="M211" t="str">
        <f t="shared" si="10"/>
        <v>Diary</v>
      </c>
      <c r="N211" t="str">
        <f t="shared" si="11"/>
        <v>iary</v>
      </c>
    </row>
    <row r="212" spans="1:14" x14ac:dyDescent="0.3">
      <c r="A212" s="8">
        <v>1211</v>
      </c>
      <c r="B212" s="8" t="s">
        <v>48</v>
      </c>
      <c r="C212" s="8" t="s">
        <v>17</v>
      </c>
      <c r="D212" s="8" t="s">
        <v>34</v>
      </c>
      <c r="E212" s="8" t="s">
        <v>35</v>
      </c>
      <c r="F212" s="8">
        <v>3</v>
      </c>
      <c r="G212" s="8">
        <v>5962</v>
      </c>
      <c r="H212" s="8">
        <v>7</v>
      </c>
      <c r="I212" s="9">
        <v>46175</v>
      </c>
      <c r="J212" s="9">
        <v>46183</v>
      </c>
      <c r="K212" s="8" t="s">
        <v>15</v>
      </c>
      <c r="L212" t="str">
        <f t="shared" si="9"/>
        <v>Nit1211</v>
      </c>
      <c r="M212" t="str">
        <f t="shared" si="10"/>
        <v>Prier</v>
      </c>
      <c r="N212" t="str">
        <f t="shared" si="11"/>
        <v>rint</v>
      </c>
    </row>
    <row r="213" spans="1:14" x14ac:dyDescent="0.3">
      <c r="A213" s="8">
        <v>1212</v>
      </c>
      <c r="B213" s="8" t="s">
        <v>59</v>
      </c>
      <c r="C213" s="8" t="s">
        <v>25</v>
      </c>
      <c r="D213" s="8" t="s">
        <v>34</v>
      </c>
      <c r="E213" s="8" t="s">
        <v>60</v>
      </c>
      <c r="F213" s="8">
        <v>10</v>
      </c>
      <c r="G213" s="8">
        <v>34380</v>
      </c>
      <c r="H213" s="8">
        <v>7</v>
      </c>
      <c r="I213" s="9">
        <v>46194</v>
      </c>
      <c r="J213" s="9">
        <v>46195</v>
      </c>
      <c r="K213" s="8" t="s">
        <v>29</v>
      </c>
      <c r="L213" t="str">
        <f t="shared" si="9"/>
        <v>Ani1212</v>
      </c>
      <c r="M213" t="str">
        <f t="shared" si="10"/>
        <v>Lapop</v>
      </c>
      <c r="N213" t="str">
        <f t="shared" si="11"/>
        <v>apto</v>
      </c>
    </row>
    <row r="214" spans="1:14" x14ac:dyDescent="0.3">
      <c r="A214" s="8">
        <v>1213</v>
      </c>
      <c r="B214" s="8" t="s">
        <v>32</v>
      </c>
      <c r="C214" s="8" t="s">
        <v>38</v>
      </c>
      <c r="D214" s="8" t="s">
        <v>34</v>
      </c>
      <c r="E214" s="8" t="s">
        <v>45</v>
      </c>
      <c r="F214" s="8">
        <v>16</v>
      </c>
      <c r="G214" s="8">
        <v>27741</v>
      </c>
      <c r="H214" s="8">
        <v>12</v>
      </c>
      <c r="I214" s="9">
        <v>46116</v>
      </c>
      <c r="J214" s="9">
        <v>46119</v>
      </c>
      <c r="K214" s="8" t="s">
        <v>15</v>
      </c>
      <c r="L214" t="str">
        <f t="shared" si="9"/>
        <v>Ash1213</v>
      </c>
      <c r="M214" t="str">
        <f t="shared" si="10"/>
        <v>Monor</v>
      </c>
      <c r="N214" t="str">
        <f t="shared" si="11"/>
        <v>onit</v>
      </c>
    </row>
    <row r="215" spans="1:14" x14ac:dyDescent="0.3">
      <c r="A215" s="8">
        <v>1214</v>
      </c>
      <c r="B215" s="8" t="s">
        <v>42</v>
      </c>
      <c r="C215" s="8" t="s">
        <v>25</v>
      </c>
      <c r="D215" s="8" t="s">
        <v>18</v>
      </c>
      <c r="E215" s="8" t="s">
        <v>28</v>
      </c>
      <c r="F215" s="8">
        <v>19</v>
      </c>
      <c r="G215" s="8">
        <v>13832</v>
      </c>
      <c r="H215" s="8">
        <v>0</v>
      </c>
      <c r="I215" s="9">
        <v>46140</v>
      </c>
      <c r="J215" s="9">
        <v>46145</v>
      </c>
      <c r="K215" s="8" t="s">
        <v>51</v>
      </c>
      <c r="L215" t="str">
        <f t="shared" si="9"/>
        <v>Nis1214</v>
      </c>
      <c r="M215" t="str">
        <f t="shared" si="10"/>
        <v>Chair</v>
      </c>
      <c r="N215" t="str">
        <f t="shared" si="11"/>
        <v>hair</v>
      </c>
    </row>
    <row r="216" spans="1:14" x14ac:dyDescent="0.3">
      <c r="A216" s="8">
        <v>1215</v>
      </c>
      <c r="B216" s="8" t="s">
        <v>27</v>
      </c>
      <c r="C216" s="8" t="s">
        <v>12</v>
      </c>
      <c r="D216" s="8" t="s">
        <v>18</v>
      </c>
      <c r="E216" s="8" t="s">
        <v>28</v>
      </c>
      <c r="F216" s="8">
        <v>6</v>
      </c>
      <c r="G216" s="8">
        <v>1254</v>
      </c>
      <c r="H216" s="8">
        <v>0</v>
      </c>
      <c r="I216" s="9">
        <v>46131</v>
      </c>
      <c r="J216" s="9">
        <v>46136</v>
      </c>
      <c r="K216" s="8" t="s">
        <v>29</v>
      </c>
      <c r="L216" t="str">
        <f t="shared" si="9"/>
        <v>Arj1215</v>
      </c>
      <c r="M216" t="str">
        <f t="shared" si="10"/>
        <v>Chair</v>
      </c>
      <c r="N216" t="str">
        <f t="shared" si="11"/>
        <v>hair</v>
      </c>
    </row>
    <row r="217" spans="1:14" x14ac:dyDescent="0.3">
      <c r="A217" s="8">
        <v>1216</v>
      </c>
      <c r="B217" s="8" t="s">
        <v>40</v>
      </c>
      <c r="C217" s="8" t="s">
        <v>22</v>
      </c>
      <c r="D217" s="8" t="s">
        <v>34</v>
      </c>
      <c r="E217" s="8" t="s">
        <v>45</v>
      </c>
      <c r="F217" s="8">
        <v>10</v>
      </c>
      <c r="G217" s="8">
        <v>56709</v>
      </c>
      <c r="H217" s="8">
        <v>15</v>
      </c>
      <c r="I217" s="9">
        <v>46135</v>
      </c>
      <c r="J217" s="9">
        <v>46139</v>
      </c>
      <c r="K217" s="8" t="s">
        <v>29</v>
      </c>
      <c r="L217" t="str">
        <f t="shared" si="9"/>
        <v>Dee1216</v>
      </c>
      <c r="M217" t="str">
        <f t="shared" si="10"/>
        <v>Monor</v>
      </c>
      <c r="N217" t="str">
        <f t="shared" si="11"/>
        <v>onit</v>
      </c>
    </row>
    <row r="218" spans="1:14" x14ac:dyDescent="0.3">
      <c r="A218" s="8">
        <v>1217</v>
      </c>
      <c r="B218" s="8" t="s">
        <v>30</v>
      </c>
      <c r="C218" s="8" t="s">
        <v>22</v>
      </c>
      <c r="D218" s="8" t="s">
        <v>13</v>
      </c>
      <c r="E218" s="8" t="s">
        <v>50</v>
      </c>
      <c r="F218" s="8">
        <v>18</v>
      </c>
      <c r="G218" s="8">
        <v>60</v>
      </c>
      <c r="H218" s="8">
        <v>0</v>
      </c>
      <c r="I218" s="9">
        <v>46171</v>
      </c>
      <c r="J218" s="9">
        <v>46172</v>
      </c>
      <c r="K218" s="8" t="s">
        <v>29</v>
      </c>
      <c r="L218" t="str">
        <f t="shared" si="9"/>
        <v>Neh1217</v>
      </c>
      <c r="M218" t="str">
        <f t="shared" si="10"/>
        <v>Marer</v>
      </c>
      <c r="N218" t="str">
        <f t="shared" si="11"/>
        <v>arke</v>
      </c>
    </row>
    <row r="219" spans="1:14" x14ac:dyDescent="0.3">
      <c r="A219" s="8">
        <v>1218</v>
      </c>
      <c r="B219" s="8" t="s">
        <v>55</v>
      </c>
      <c r="C219" s="8" t="s">
        <v>38</v>
      </c>
      <c r="D219" s="8" t="s">
        <v>13</v>
      </c>
      <c r="E219" s="8" t="s">
        <v>14</v>
      </c>
      <c r="F219" s="8">
        <v>1</v>
      </c>
      <c r="G219" s="8">
        <v>134</v>
      </c>
      <c r="H219" s="8">
        <v>10</v>
      </c>
      <c r="I219" s="9">
        <v>46143</v>
      </c>
      <c r="J219" s="9">
        <v>46151</v>
      </c>
      <c r="K219" s="8" t="s">
        <v>51</v>
      </c>
      <c r="L219" t="str">
        <f t="shared" si="9"/>
        <v>Sne1218</v>
      </c>
      <c r="M219" t="str">
        <f t="shared" si="10"/>
        <v>Notok</v>
      </c>
      <c r="N219" t="str">
        <f t="shared" si="11"/>
        <v>oteb</v>
      </c>
    </row>
    <row r="220" spans="1:14" x14ac:dyDescent="0.3">
      <c r="A220" s="8">
        <v>1219</v>
      </c>
      <c r="B220" s="8" t="s">
        <v>46</v>
      </c>
      <c r="C220" s="8" t="s">
        <v>22</v>
      </c>
      <c r="D220" s="8" t="s">
        <v>13</v>
      </c>
      <c r="E220" s="8" t="s">
        <v>14</v>
      </c>
      <c r="F220" s="8">
        <v>4</v>
      </c>
      <c r="G220" s="8">
        <v>117</v>
      </c>
      <c r="H220" s="8">
        <v>15</v>
      </c>
      <c r="I220" s="9">
        <v>46202</v>
      </c>
      <c r="J220" s="9">
        <v>46206</v>
      </c>
      <c r="K220" s="8" t="s">
        <v>29</v>
      </c>
      <c r="L220" t="str">
        <f t="shared" si="9"/>
        <v>Kir1219</v>
      </c>
      <c r="M220" t="str">
        <f t="shared" si="10"/>
        <v>Notok</v>
      </c>
      <c r="N220" t="str">
        <f t="shared" si="11"/>
        <v>oteb</v>
      </c>
    </row>
    <row r="221" spans="1:14" x14ac:dyDescent="0.3">
      <c r="A221" s="8">
        <v>1220</v>
      </c>
      <c r="B221" s="8" t="s">
        <v>11</v>
      </c>
      <c r="C221" s="8" t="s">
        <v>25</v>
      </c>
      <c r="D221" s="8" t="s">
        <v>18</v>
      </c>
      <c r="E221" s="8" t="s">
        <v>56</v>
      </c>
      <c r="F221" s="8">
        <v>2</v>
      </c>
      <c r="G221" s="8">
        <v>8861</v>
      </c>
      <c r="H221" s="8">
        <v>2</v>
      </c>
      <c r="I221" s="9">
        <v>46170</v>
      </c>
      <c r="J221" s="9">
        <v>46174</v>
      </c>
      <c r="K221" s="8" t="s">
        <v>24</v>
      </c>
      <c r="L221" t="str">
        <f t="shared" si="9"/>
        <v>Rit1220</v>
      </c>
      <c r="M221" t="str">
        <f t="shared" si="10"/>
        <v>Cabet</v>
      </c>
      <c r="N221" t="str">
        <f t="shared" si="11"/>
        <v>abin</v>
      </c>
    </row>
    <row r="222" spans="1:14" x14ac:dyDescent="0.3">
      <c r="A222" s="8">
        <v>1221</v>
      </c>
      <c r="B222" s="8" t="s">
        <v>11</v>
      </c>
      <c r="C222" s="8" t="s">
        <v>31</v>
      </c>
      <c r="D222" s="8" t="s">
        <v>18</v>
      </c>
      <c r="E222" s="8" t="s">
        <v>56</v>
      </c>
      <c r="F222" s="8">
        <v>18</v>
      </c>
      <c r="G222" s="8">
        <v>2681</v>
      </c>
      <c r="H222" s="8">
        <v>10</v>
      </c>
      <c r="I222" s="9">
        <v>46122</v>
      </c>
      <c r="J222" s="9">
        <v>46125</v>
      </c>
      <c r="K222" s="8" t="s">
        <v>51</v>
      </c>
      <c r="L222" t="str">
        <f t="shared" si="9"/>
        <v>Rit1221</v>
      </c>
      <c r="M222" t="str">
        <f t="shared" si="10"/>
        <v>Cabet</v>
      </c>
      <c r="N222" t="str">
        <f t="shared" si="11"/>
        <v>abin</v>
      </c>
    </row>
    <row r="223" spans="1:14" x14ac:dyDescent="0.3">
      <c r="A223" s="8">
        <v>1222</v>
      </c>
      <c r="B223" s="8" t="s">
        <v>30</v>
      </c>
      <c r="C223" s="8" t="s">
        <v>33</v>
      </c>
      <c r="D223" s="8" t="s">
        <v>18</v>
      </c>
      <c r="E223" s="8" t="s">
        <v>23</v>
      </c>
      <c r="F223" s="8">
        <v>9</v>
      </c>
      <c r="G223" s="8">
        <v>2712</v>
      </c>
      <c r="H223" s="8">
        <v>12</v>
      </c>
      <c r="I223" s="9">
        <v>46154</v>
      </c>
      <c r="J223" s="9">
        <v>46163</v>
      </c>
      <c r="K223" s="8" t="s">
        <v>15</v>
      </c>
      <c r="L223" t="str">
        <f t="shared" si="9"/>
        <v>Neh1222</v>
      </c>
      <c r="M223" t="str">
        <f t="shared" si="10"/>
        <v>Table</v>
      </c>
      <c r="N223" t="str">
        <f t="shared" si="11"/>
        <v>able</v>
      </c>
    </row>
    <row r="224" spans="1:14" x14ac:dyDescent="0.3">
      <c r="A224" s="8">
        <v>1223</v>
      </c>
      <c r="B224" s="8" t="s">
        <v>59</v>
      </c>
      <c r="C224" s="8" t="s">
        <v>17</v>
      </c>
      <c r="D224" s="8" t="s">
        <v>18</v>
      </c>
      <c r="E224" s="8" t="s">
        <v>23</v>
      </c>
      <c r="F224" s="8">
        <v>4</v>
      </c>
      <c r="G224" s="8">
        <v>2249</v>
      </c>
      <c r="H224" s="8">
        <v>7</v>
      </c>
      <c r="I224" s="9">
        <v>46077</v>
      </c>
      <c r="J224" s="9">
        <v>46084</v>
      </c>
      <c r="K224" s="8" t="s">
        <v>15</v>
      </c>
      <c r="L224" t="str">
        <f t="shared" si="9"/>
        <v>Ani1223</v>
      </c>
      <c r="M224" t="str">
        <f t="shared" si="10"/>
        <v>Table</v>
      </c>
      <c r="N224" t="str">
        <f t="shared" si="11"/>
        <v>able</v>
      </c>
    </row>
    <row r="225" spans="1:14" x14ac:dyDescent="0.3">
      <c r="A225" s="8">
        <v>1224</v>
      </c>
      <c r="B225" s="8" t="s">
        <v>30</v>
      </c>
      <c r="C225" s="8" t="s">
        <v>38</v>
      </c>
      <c r="D225" s="8" t="s">
        <v>34</v>
      </c>
      <c r="E225" s="8" t="s">
        <v>45</v>
      </c>
      <c r="F225" s="8">
        <v>16</v>
      </c>
      <c r="G225" s="8">
        <v>18378</v>
      </c>
      <c r="H225" s="8">
        <v>10</v>
      </c>
      <c r="I225" s="9">
        <v>46045</v>
      </c>
      <c r="J225" s="9">
        <v>46052</v>
      </c>
      <c r="K225" s="8" t="s">
        <v>24</v>
      </c>
      <c r="L225" t="str">
        <f t="shared" si="9"/>
        <v>Neh1224</v>
      </c>
      <c r="M225" t="str">
        <f t="shared" si="10"/>
        <v>Monor</v>
      </c>
      <c r="N225" t="str">
        <f t="shared" si="11"/>
        <v>onit</v>
      </c>
    </row>
    <row r="226" spans="1:14" x14ac:dyDescent="0.3">
      <c r="A226" s="8">
        <v>1225</v>
      </c>
      <c r="B226" s="8" t="s">
        <v>42</v>
      </c>
      <c r="C226" s="8" t="s">
        <v>31</v>
      </c>
      <c r="D226" s="8" t="s">
        <v>34</v>
      </c>
      <c r="E226" s="8" t="s">
        <v>35</v>
      </c>
      <c r="F226" s="8">
        <v>16</v>
      </c>
      <c r="G226" s="8">
        <v>32262</v>
      </c>
      <c r="H226" s="8">
        <v>12</v>
      </c>
      <c r="I226" s="9">
        <v>46125</v>
      </c>
      <c r="J226" s="9">
        <v>46126</v>
      </c>
      <c r="K226" s="8" t="s">
        <v>20</v>
      </c>
      <c r="L226" t="str">
        <f t="shared" si="9"/>
        <v>Nis1225</v>
      </c>
      <c r="M226" t="str">
        <f t="shared" si="10"/>
        <v>Prier</v>
      </c>
      <c r="N226" t="str">
        <f t="shared" si="11"/>
        <v>rint</v>
      </c>
    </row>
    <row r="227" spans="1:14" x14ac:dyDescent="0.3">
      <c r="A227" s="8">
        <v>1226</v>
      </c>
      <c r="B227" s="8" t="s">
        <v>29</v>
      </c>
      <c r="C227" s="8" t="s">
        <v>31</v>
      </c>
      <c r="D227" s="8" t="s">
        <v>34</v>
      </c>
      <c r="E227" s="8" t="s">
        <v>41</v>
      </c>
      <c r="F227" s="8">
        <v>13</v>
      </c>
      <c r="G227" s="8">
        <v>21332</v>
      </c>
      <c r="H227" s="8">
        <v>0</v>
      </c>
      <c r="I227" s="9">
        <v>46044</v>
      </c>
      <c r="J227" s="9">
        <v>46048</v>
      </c>
      <c r="K227" s="8" t="s">
        <v>29</v>
      </c>
      <c r="L227" t="str">
        <f t="shared" si="9"/>
        <v>Pri1226</v>
      </c>
      <c r="M227" t="str">
        <f t="shared" si="10"/>
        <v>Heaet</v>
      </c>
      <c r="N227" t="str">
        <f t="shared" si="11"/>
        <v>eads</v>
      </c>
    </row>
    <row r="228" spans="1:14" x14ac:dyDescent="0.3">
      <c r="A228" s="8">
        <v>1227</v>
      </c>
      <c r="B228" s="8" t="s">
        <v>58</v>
      </c>
      <c r="C228" s="8" t="s">
        <v>22</v>
      </c>
      <c r="D228" s="8" t="s">
        <v>34</v>
      </c>
      <c r="E228" s="8" t="s">
        <v>45</v>
      </c>
      <c r="F228" s="8">
        <v>16</v>
      </c>
      <c r="G228" s="8">
        <v>1321</v>
      </c>
      <c r="H228" s="8">
        <v>12</v>
      </c>
      <c r="I228" s="9">
        <v>46113</v>
      </c>
      <c r="J228" s="9">
        <v>46116</v>
      </c>
      <c r="K228" s="8" t="s">
        <v>15</v>
      </c>
      <c r="L228" t="str">
        <f t="shared" si="9"/>
        <v>Roh1227</v>
      </c>
      <c r="M228" t="str">
        <f t="shared" si="10"/>
        <v>Monor</v>
      </c>
      <c r="N228" t="str">
        <f t="shared" si="11"/>
        <v>onit</v>
      </c>
    </row>
    <row r="229" spans="1:14" x14ac:dyDescent="0.3">
      <c r="A229" s="8">
        <v>1228</v>
      </c>
      <c r="B229" s="8" t="s">
        <v>29</v>
      </c>
      <c r="C229" s="8" t="s">
        <v>25</v>
      </c>
      <c r="D229" s="8" t="s">
        <v>34</v>
      </c>
      <c r="E229" s="8" t="s">
        <v>45</v>
      </c>
      <c r="F229" s="8">
        <v>16</v>
      </c>
      <c r="G229" s="8">
        <v>17477</v>
      </c>
      <c r="H229" s="8">
        <v>10</v>
      </c>
      <c r="I229" s="9">
        <v>46041</v>
      </c>
      <c r="J229" s="9">
        <v>46043</v>
      </c>
      <c r="K229" s="8" t="s">
        <v>24</v>
      </c>
      <c r="L229" t="str">
        <f t="shared" si="9"/>
        <v>Pri1228</v>
      </c>
      <c r="M229" t="str">
        <f t="shared" si="10"/>
        <v>Monor</v>
      </c>
      <c r="N229" t="str">
        <f t="shared" si="11"/>
        <v>onit</v>
      </c>
    </row>
    <row r="230" spans="1:14" x14ac:dyDescent="0.3">
      <c r="A230" s="8">
        <v>1229</v>
      </c>
      <c r="B230" s="8" t="s">
        <v>57</v>
      </c>
      <c r="C230" s="8" t="s">
        <v>12</v>
      </c>
      <c r="D230" s="8" t="s">
        <v>18</v>
      </c>
      <c r="E230" s="8" t="s">
        <v>56</v>
      </c>
      <c r="F230" s="8">
        <v>14</v>
      </c>
      <c r="G230" s="8">
        <v>5859</v>
      </c>
      <c r="H230" s="8">
        <v>12</v>
      </c>
      <c r="I230" s="9">
        <v>46027</v>
      </c>
      <c r="J230" s="9">
        <v>46036</v>
      </c>
      <c r="K230" s="8" t="s">
        <v>20</v>
      </c>
      <c r="L230" t="str">
        <f t="shared" si="9"/>
        <v>Sar1229</v>
      </c>
      <c r="M230" t="str">
        <f t="shared" si="10"/>
        <v>Cabet</v>
      </c>
      <c r="N230" t="str">
        <f t="shared" si="11"/>
        <v>abin</v>
      </c>
    </row>
    <row r="231" spans="1:14" x14ac:dyDescent="0.3">
      <c r="A231" s="8">
        <v>1230</v>
      </c>
      <c r="B231" s="8" t="s">
        <v>59</v>
      </c>
      <c r="C231" s="8" t="s">
        <v>33</v>
      </c>
      <c r="D231" s="8" t="s">
        <v>34</v>
      </c>
      <c r="E231" s="8" t="s">
        <v>60</v>
      </c>
      <c r="F231" s="8">
        <v>7</v>
      </c>
      <c r="G231" s="8">
        <v>2932</v>
      </c>
      <c r="H231" s="8">
        <v>7</v>
      </c>
      <c r="I231" s="9">
        <v>46050</v>
      </c>
      <c r="J231" s="9">
        <v>46059</v>
      </c>
      <c r="K231" s="8" t="s">
        <v>24</v>
      </c>
      <c r="L231" t="str">
        <f t="shared" si="9"/>
        <v>Ani1230</v>
      </c>
      <c r="M231" t="str">
        <f t="shared" si="10"/>
        <v>Lapop</v>
      </c>
      <c r="N231" t="str">
        <f t="shared" si="11"/>
        <v>apto</v>
      </c>
    </row>
    <row r="232" spans="1:14" x14ac:dyDescent="0.3">
      <c r="A232" s="8">
        <v>1231</v>
      </c>
      <c r="B232" s="8" t="s">
        <v>48</v>
      </c>
      <c r="C232" s="8" t="s">
        <v>38</v>
      </c>
      <c r="D232" s="8" t="s">
        <v>18</v>
      </c>
      <c r="E232" s="8" t="s">
        <v>19</v>
      </c>
      <c r="F232" s="8">
        <v>13</v>
      </c>
      <c r="G232" s="8">
        <v>10297</v>
      </c>
      <c r="H232" s="8">
        <v>12</v>
      </c>
      <c r="I232" s="9">
        <v>46178</v>
      </c>
      <c r="J232" s="9">
        <v>46186</v>
      </c>
      <c r="K232" s="8" t="s">
        <v>20</v>
      </c>
      <c r="L232" t="str">
        <f t="shared" si="9"/>
        <v>Nit1231</v>
      </c>
      <c r="M232" t="str">
        <f t="shared" si="10"/>
        <v>Dessk</v>
      </c>
      <c r="N232" t="str">
        <f t="shared" si="11"/>
        <v>esk</v>
      </c>
    </row>
    <row r="233" spans="1:14" x14ac:dyDescent="0.3">
      <c r="A233" s="8">
        <v>1232</v>
      </c>
      <c r="B233" s="8" t="s">
        <v>21</v>
      </c>
      <c r="C233" s="8" t="s">
        <v>12</v>
      </c>
      <c r="D233" s="8" t="s">
        <v>34</v>
      </c>
      <c r="E233" s="8" t="s">
        <v>60</v>
      </c>
      <c r="F233" s="8">
        <v>3</v>
      </c>
      <c r="G233" s="8">
        <v>13272</v>
      </c>
      <c r="H233" s="8">
        <v>2</v>
      </c>
      <c r="I233" s="9">
        <v>46060</v>
      </c>
      <c r="J233" s="9">
        <v>46065</v>
      </c>
      <c r="K233" s="8" t="s">
        <v>15</v>
      </c>
      <c r="L233" t="str">
        <f t="shared" si="9"/>
        <v>Mee1232</v>
      </c>
      <c r="M233" t="str">
        <f t="shared" si="10"/>
        <v>Lapop</v>
      </c>
      <c r="N233" t="str">
        <f t="shared" si="11"/>
        <v>apto</v>
      </c>
    </row>
    <row r="234" spans="1:14" x14ac:dyDescent="0.3">
      <c r="A234" s="8">
        <v>1233</v>
      </c>
      <c r="B234" s="8" t="s">
        <v>58</v>
      </c>
      <c r="C234" s="8" t="s">
        <v>22</v>
      </c>
      <c r="D234" s="8" t="s">
        <v>18</v>
      </c>
      <c r="E234" s="8" t="s">
        <v>19</v>
      </c>
      <c r="F234" s="8">
        <v>20</v>
      </c>
      <c r="G234" s="8">
        <v>13941</v>
      </c>
      <c r="H234" s="8">
        <v>15</v>
      </c>
      <c r="I234" s="9">
        <v>46198</v>
      </c>
      <c r="J234" s="9">
        <v>46202</v>
      </c>
      <c r="K234" s="8" t="s">
        <v>24</v>
      </c>
      <c r="L234" t="str">
        <f t="shared" si="9"/>
        <v>Roh1233</v>
      </c>
      <c r="M234" t="str">
        <f t="shared" si="10"/>
        <v>Dessk</v>
      </c>
      <c r="N234" t="str">
        <f t="shared" si="11"/>
        <v>esk</v>
      </c>
    </row>
    <row r="235" spans="1:14" x14ac:dyDescent="0.3">
      <c r="A235" s="8">
        <v>1234</v>
      </c>
      <c r="B235" s="8" t="s">
        <v>11</v>
      </c>
      <c r="C235" s="8" t="s">
        <v>25</v>
      </c>
      <c r="D235" s="8" t="s">
        <v>18</v>
      </c>
      <c r="E235" s="8" t="s">
        <v>28</v>
      </c>
      <c r="F235" s="8">
        <v>1</v>
      </c>
      <c r="G235" s="8">
        <v>14320</v>
      </c>
      <c r="H235" s="8">
        <v>12</v>
      </c>
      <c r="I235" s="9">
        <v>46114</v>
      </c>
      <c r="J235" s="9">
        <v>46121</v>
      </c>
      <c r="K235" s="8" t="s">
        <v>51</v>
      </c>
      <c r="L235" t="str">
        <f t="shared" si="9"/>
        <v>Rit1234</v>
      </c>
      <c r="M235" t="str">
        <f t="shared" si="10"/>
        <v>Chair</v>
      </c>
      <c r="N235" t="str">
        <f t="shared" si="11"/>
        <v>hair</v>
      </c>
    </row>
    <row r="236" spans="1:14" x14ac:dyDescent="0.3">
      <c r="A236" s="8">
        <v>1235</v>
      </c>
      <c r="B236" s="8" t="s">
        <v>57</v>
      </c>
      <c r="C236" s="8" t="s">
        <v>25</v>
      </c>
      <c r="D236" s="8" t="s">
        <v>13</v>
      </c>
      <c r="E236" s="8" t="s">
        <v>50</v>
      </c>
      <c r="F236" s="8">
        <v>15</v>
      </c>
      <c r="G236" s="8">
        <v>267</v>
      </c>
      <c r="H236" s="8">
        <v>15</v>
      </c>
      <c r="I236" s="9">
        <v>46172</v>
      </c>
      <c r="J236" s="9">
        <v>46177</v>
      </c>
      <c r="K236" s="8" t="s">
        <v>29</v>
      </c>
      <c r="L236" t="str">
        <f t="shared" si="9"/>
        <v>Sar1235</v>
      </c>
      <c r="M236" t="str">
        <f t="shared" si="10"/>
        <v>Marer</v>
      </c>
      <c r="N236" t="str">
        <f t="shared" si="11"/>
        <v>arke</v>
      </c>
    </row>
    <row r="237" spans="1:14" x14ac:dyDescent="0.3">
      <c r="A237" s="8">
        <v>1236</v>
      </c>
      <c r="B237" s="8" t="s">
        <v>54</v>
      </c>
      <c r="C237" s="8" t="s">
        <v>43</v>
      </c>
      <c r="D237" s="8" t="s">
        <v>13</v>
      </c>
      <c r="E237" s="8" t="s">
        <v>37</v>
      </c>
      <c r="F237" s="8">
        <v>12</v>
      </c>
      <c r="G237" s="8">
        <v>189</v>
      </c>
      <c r="H237" s="8">
        <v>7</v>
      </c>
      <c r="I237" s="9">
        <v>46164</v>
      </c>
      <c r="J237" s="9">
        <v>46169</v>
      </c>
      <c r="K237" s="8" t="s">
        <v>29</v>
      </c>
      <c r="L237" t="str">
        <f t="shared" si="9"/>
        <v>Man1236</v>
      </c>
      <c r="M237" t="str">
        <f t="shared" si="10"/>
        <v>Penck</v>
      </c>
      <c r="N237" t="str">
        <f t="shared" si="11"/>
        <v>en P</v>
      </c>
    </row>
    <row r="238" spans="1:14" x14ac:dyDescent="0.3">
      <c r="A238" s="8">
        <v>1237</v>
      </c>
      <c r="B238" s="8" t="s">
        <v>46</v>
      </c>
      <c r="C238" s="8" t="s">
        <v>38</v>
      </c>
      <c r="D238" s="8" t="s">
        <v>18</v>
      </c>
      <c r="E238" s="8" t="s">
        <v>56</v>
      </c>
      <c r="F238" s="8">
        <v>8</v>
      </c>
      <c r="G238" s="8">
        <v>12123</v>
      </c>
      <c r="H238" s="8">
        <v>2</v>
      </c>
      <c r="I238" s="9">
        <v>46137</v>
      </c>
      <c r="J238" s="9">
        <v>46145</v>
      </c>
      <c r="K238" s="8" t="s">
        <v>15</v>
      </c>
      <c r="L238" t="str">
        <f t="shared" si="9"/>
        <v>Kir1237</v>
      </c>
      <c r="M238" t="str">
        <f t="shared" si="10"/>
        <v>Cabet</v>
      </c>
      <c r="N238" t="str">
        <f t="shared" si="11"/>
        <v>abin</v>
      </c>
    </row>
    <row r="239" spans="1:14" x14ac:dyDescent="0.3">
      <c r="A239" s="8">
        <v>1238</v>
      </c>
      <c r="B239" s="8" t="s">
        <v>30</v>
      </c>
      <c r="C239" s="8" t="s">
        <v>31</v>
      </c>
      <c r="D239" s="8" t="s">
        <v>13</v>
      </c>
      <c r="E239" s="8" t="s">
        <v>14</v>
      </c>
      <c r="F239" s="8">
        <v>6</v>
      </c>
      <c r="G239" s="8">
        <v>180</v>
      </c>
      <c r="H239" s="8">
        <v>12</v>
      </c>
      <c r="I239" s="9">
        <v>46096</v>
      </c>
      <c r="J239" s="9">
        <v>46097</v>
      </c>
      <c r="K239" s="8" t="s">
        <v>51</v>
      </c>
      <c r="L239" t="str">
        <f t="shared" si="9"/>
        <v>Neh1238</v>
      </c>
      <c r="M239" t="str">
        <f t="shared" si="10"/>
        <v>Notok</v>
      </c>
      <c r="N239" t="str">
        <f t="shared" si="11"/>
        <v>oteb</v>
      </c>
    </row>
    <row r="240" spans="1:14" x14ac:dyDescent="0.3">
      <c r="A240" s="8">
        <v>1239</v>
      </c>
      <c r="B240" s="8" t="s">
        <v>48</v>
      </c>
      <c r="C240" s="8" t="s">
        <v>17</v>
      </c>
      <c r="D240" s="8" t="s">
        <v>18</v>
      </c>
      <c r="E240" s="8" t="s">
        <v>56</v>
      </c>
      <c r="F240" s="8">
        <v>2</v>
      </c>
      <c r="G240" s="8">
        <v>12330</v>
      </c>
      <c r="H240" s="8">
        <v>12</v>
      </c>
      <c r="I240" s="9">
        <v>46122</v>
      </c>
      <c r="J240" s="9">
        <v>46125</v>
      </c>
      <c r="K240" s="8" t="s">
        <v>15</v>
      </c>
      <c r="L240" t="str">
        <f t="shared" si="9"/>
        <v>Nit1239</v>
      </c>
      <c r="M240" t="str">
        <f t="shared" si="10"/>
        <v>Cabet</v>
      </c>
      <c r="N240" t="str">
        <f t="shared" si="11"/>
        <v>abin</v>
      </c>
    </row>
    <row r="241" spans="1:14" x14ac:dyDescent="0.3">
      <c r="A241" s="8">
        <v>1240</v>
      </c>
      <c r="B241" s="8" t="s">
        <v>55</v>
      </c>
      <c r="C241" s="8" t="s">
        <v>33</v>
      </c>
      <c r="D241" s="8" t="s">
        <v>18</v>
      </c>
      <c r="E241" s="8" t="s">
        <v>23</v>
      </c>
      <c r="F241" s="8">
        <v>2</v>
      </c>
      <c r="G241" s="8">
        <v>5475</v>
      </c>
      <c r="H241" s="8">
        <v>2</v>
      </c>
      <c r="I241" s="9">
        <v>46142</v>
      </c>
      <c r="J241" s="9">
        <v>46146</v>
      </c>
      <c r="K241" s="8" t="s">
        <v>29</v>
      </c>
      <c r="L241" t="str">
        <f t="shared" si="9"/>
        <v>Sne1240</v>
      </c>
      <c r="M241" t="str">
        <f t="shared" si="10"/>
        <v>Table</v>
      </c>
      <c r="N241" t="str">
        <f t="shared" si="11"/>
        <v>able</v>
      </c>
    </row>
    <row r="242" spans="1:14" x14ac:dyDescent="0.3">
      <c r="A242" s="8">
        <v>1241</v>
      </c>
      <c r="B242" s="8" t="s">
        <v>46</v>
      </c>
      <c r="C242" s="8" t="s">
        <v>31</v>
      </c>
      <c r="D242" s="8" t="s">
        <v>18</v>
      </c>
      <c r="E242" s="8" t="s">
        <v>44</v>
      </c>
      <c r="F242" s="8">
        <v>1</v>
      </c>
      <c r="G242" s="8">
        <v>12537</v>
      </c>
      <c r="H242" s="8">
        <v>0</v>
      </c>
      <c r="I242" s="9">
        <v>46119</v>
      </c>
      <c r="J242" s="9">
        <v>46122</v>
      </c>
      <c r="K242" s="8" t="s">
        <v>15</v>
      </c>
      <c r="L242" t="str">
        <f t="shared" si="9"/>
        <v>Kir1241</v>
      </c>
      <c r="M242" t="str">
        <f t="shared" si="10"/>
        <v>Boolf</v>
      </c>
      <c r="N242" t="str">
        <f t="shared" si="11"/>
        <v>ooks</v>
      </c>
    </row>
    <row r="243" spans="1:14" x14ac:dyDescent="0.3">
      <c r="A243" s="8">
        <v>1242</v>
      </c>
      <c r="B243" s="8" t="s">
        <v>54</v>
      </c>
      <c r="C243" s="8" t="s">
        <v>38</v>
      </c>
      <c r="D243" s="8" t="s">
        <v>13</v>
      </c>
      <c r="E243" s="8" t="s">
        <v>50</v>
      </c>
      <c r="F243" s="8">
        <v>7</v>
      </c>
      <c r="G243" s="8">
        <v>168</v>
      </c>
      <c r="H243" s="8">
        <v>10</v>
      </c>
      <c r="I243" s="9">
        <v>46191</v>
      </c>
      <c r="J243" s="9">
        <v>46196</v>
      </c>
      <c r="K243" s="8" t="s">
        <v>51</v>
      </c>
      <c r="L243" t="str">
        <f t="shared" si="9"/>
        <v>Man1242</v>
      </c>
      <c r="M243" t="str">
        <f t="shared" si="10"/>
        <v>Marer</v>
      </c>
      <c r="N243" t="str">
        <f t="shared" si="11"/>
        <v>arke</v>
      </c>
    </row>
    <row r="244" spans="1:14" x14ac:dyDescent="0.3">
      <c r="A244" s="8">
        <v>1243</v>
      </c>
      <c r="B244" s="8" t="s">
        <v>30</v>
      </c>
      <c r="C244" s="8" t="s">
        <v>31</v>
      </c>
      <c r="D244" s="8" t="s">
        <v>34</v>
      </c>
      <c r="E244" s="8" t="s">
        <v>41</v>
      </c>
      <c r="F244" s="8">
        <v>5</v>
      </c>
      <c r="G244" s="8">
        <v>11570</v>
      </c>
      <c r="H244" s="8">
        <v>15</v>
      </c>
      <c r="I244" s="9">
        <v>46069</v>
      </c>
      <c r="J244" s="9">
        <v>46077</v>
      </c>
      <c r="K244" s="8" t="s">
        <v>24</v>
      </c>
      <c r="L244" t="str">
        <f t="shared" si="9"/>
        <v>Neh1243</v>
      </c>
      <c r="M244" t="str">
        <f t="shared" si="10"/>
        <v>Heaet</v>
      </c>
      <c r="N244" t="str">
        <f t="shared" si="11"/>
        <v>eads</v>
      </c>
    </row>
    <row r="245" spans="1:14" x14ac:dyDescent="0.3">
      <c r="A245" s="8">
        <v>1244</v>
      </c>
      <c r="B245" s="8" t="s">
        <v>57</v>
      </c>
      <c r="C245" s="8" t="s">
        <v>38</v>
      </c>
      <c r="D245" s="8" t="s">
        <v>18</v>
      </c>
      <c r="E245" s="8" t="s">
        <v>28</v>
      </c>
      <c r="F245" s="8">
        <v>10</v>
      </c>
      <c r="G245" s="8">
        <v>6339</v>
      </c>
      <c r="H245" s="8">
        <v>12</v>
      </c>
      <c r="I245" s="9">
        <v>46200</v>
      </c>
      <c r="J245" s="9">
        <v>46205</v>
      </c>
      <c r="K245" s="8" t="s">
        <v>15</v>
      </c>
      <c r="L245" t="str">
        <f t="shared" si="9"/>
        <v>Sar1244</v>
      </c>
      <c r="M245" t="str">
        <f t="shared" si="10"/>
        <v>Chair</v>
      </c>
      <c r="N245" t="str">
        <f t="shared" si="11"/>
        <v>hair</v>
      </c>
    </row>
    <row r="246" spans="1:14" x14ac:dyDescent="0.3">
      <c r="A246" s="8">
        <v>1245</v>
      </c>
      <c r="B246" s="8" t="s">
        <v>55</v>
      </c>
      <c r="C246" s="8" t="s">
        <v>43</v>
      </c>
      <c r="D246" s="8" t="s">
        <v>34</v>
      </c>
      <c r="E246" s="8" t="s">
        <v>41</v>
      </c>
      <c r="F246" s="8">
        <v>19</v>
      </c>
      <c r="G246" s="8">
        <v>69029</v>
      </c>
      <c r="H246" s="8">
        <v>7</v>
      </c>
      <c r="I246" s="9">
        <v>46176</v>
      </c>
      <c r="J246" s="9">
        <v>46179</v>
      </c>
      <c r="K246" s="8" t="s">
        <v>29</v>
      </c>
      <c r="L246" t="str">
        <f t="shared" si="9"/>
        <v>Sne1245</v>
      </c>
      <c r="M246" t="str">
        <f t="shared" si="10"/>
        <v>Heaet</v>
      </c>
      <c r="N246" t="str">
        <f t="shared" si="11"/>
        <v>eads</v>
      </c>
    </row>
    <row r="247" spans="1:14" x14ac:dyDescent="0.3">
      <c r="A247" s="8">
        <v>1246</v>
      </c>
      <c r="B247" s="8" t="s">
        <v>55</v>
      </c>
      <c r="C247" s="8" t="s">
        <v>22</v>
      </c>
      <c r="D247" s="8" t="s">
        <v>34</v>
      </c>
      <c r="E247" s="8" t="s">
        <v>35</v>
      </c>
      <c r="F247" s="8">
        <v>13</v>
      </c>
      <c r="G247" s="8">
        <v>1825</v>
      </c>
      <c r="H247" s="8">
        <v>2</v>
      </c>
      <c r="I247" s="9">
        <v>46039</v>
      </c>
      <c r="J247" s="9">
        <v>46045</v>
      </c>
      <c r="K247" s="8" t="s">
        <v>51</v>
      </c>
      <c r="L247" t="str">
        <f t="shared" si="9"/>
        <v>Sne1246</v>
      </c>
      <c r="M247" t="str">
        <f t="shared" si="10"/>
        <v>Prier</v>
      </c>
      <c r="N247" t="str">
        <f t="shared" si="11"/>
        <v>rint</v>
      </c>
    </row>
    <row r="248" spans="1:14" x14ac:dyDescent="0.3">
      <c r="A248" s="8">
        <v>1247</v>
      </c>
      <c r="B248" s="8" t="s">
        <v>26</v>
      </c>
      <c r="C248" s="8" t="s">
        <v>12</v>
      </c>
      <c r="D248" s="8" t="s">
        <v>13</v>
      </c>
      <c r="E248" s="8" t="s">
        <v>50</v>
      </c>
      <c r="F248" s="8">
        <v>10</v>
      </c>
      <c r="G248" s="8">
        <v>336</v>
      </c>
      <c r="H248" s="8">
        <v>7</v>
      </c>
      <c r="I248" s="9">
        <v>46173</v>
      </c>
      <c r="J248" s="9">
        <v>46175</v>
      </c>
      <c r="K248" s="8" t="s">
        <v>20</v>
      </c>
      <c r="L248" t="str">
        <f t="shared" si="9"/>
        <v>Vik1247</v>
      </c>
      <c r="M248" t="str">
        <f t="shared" si="10"/>
        <v>Marer</v>
      </c>
      <c r="N248" t="str">
        <f t="shared" si="11"/>
        <v>arke</v>
      </c>
    </row>
    <row r="249" spans="1:14" x14ac:dyDescent="0.3">
      <c r="A249" s="8">
        <v>1248</v>
      </c>
      <c r="B249" s="8" t="s">
        <v>27</v>
      </c>
      <c r="C249" s="8" t="s">
        <v>43</v>
      </c>
      <c r="D249" s="8" t="s">
        <v>13</v>
      </c>
      <c r="E249" s="8" t="s">
        <v>37</v>
      </c>
      <c r="F249" s="8">
        <v>5</v>
      </c>
      <c r="G249" s="8">
        <v>398</v>
      </c>
      <c r="H249" s="8">
        <v>7</v>
      </c>
      <c r="I249" s="9">
        <v>46161</v>
      </c>
      <c r="J249" s="9">
        <v>46171</v>
      </c>
      <c r="K249" s="8" t="s">
        <v>29</v>
      </c>
      <c r="L249" t="str">
        <f t="shared" si="9"/>
        <v>Arj1248</v>
      </c>
      <c r="M249" t="str">
        <f t="shared" si="10"/>
        <v>Penck</v>
      </c>
      <c r="N249" t="str">
        <f t="shared" si="11"/>
        <v>en P</v>
      </c>
    </row>
    <row r="250" spans="1:14" x14ac:dyDescent="0.3">
      <c r="A250" s="8">
        <v>1249</v>
      </c>
      <c r="B250" s="8" t="s">
        <v>16</v>
      </c>
      <c r="C250" s="8" t="s">
        <v>25</v>
      </c>
      <c r="D250" s="8" t="s">
        <v>34</v>
      </c>
      <c r="E250" s="8" t="s">
        <v>41</v>
      </c>
      <c r="F250" s="8">
        <v>18</v>
      </c>
      <c r="G250" s="8">
        <v>6360</v>
      </c>
      <c r="H250" s="8">
        <v>12</v>
      </c>
      <c r="I250" s="9">
        <v>46163</v>
      </c>
      <c r="J250" s="9">
        <v>46165</v>
      </c>
      <c r="K250" s="8" t="s">
        <v>20</v>
      </c>
      <c r="L250" t="str">
        <f t="shared" si="9"/>
        <v>Poo1249</v>
      </c>
      <c r="M250" t="str">
        <f t="shared" si="10"/>
        <v>Heaet</v>
      </c>
      <c r="N250" t="str">
        <f t="shared" si="11"/>
        <v>eads</v>
      </c>
    </row>
    <row r="251" spans="1:14" x14ac:dyDescent="0.3">
      <c r="A251" s="8">
        <v>1250</v>
      </c>
      <c r="B251" s="8" t="s">
        <v>11</v>
      </c>
      <c r="C251" s="8" t="s">
        <v>17</v>
      </c>
      <c r="D251" s="8" t="s">
        <v>34</v>
      </c>
      <c r="E251" s="8" t="s">
        <v>45</v>
      </c>
      <c r="F251" s="8">
        <v>2</v>
      </c>
      <c r="G251" s="8">
        <v>65953</v>
      </c>
      <c r="H251" s="8">
        <v>7</v>
      </c>
      <c r="I251" s="9">
        <v>46051</v>
      </c>
      <c r="J251" s="9">
        <v>46053</v>
      </c>
      <c r="K251" s="8" t="s">
        <v>29</v>
      </c>
      <c r="L251" t="str">
        <f t="shared" si="9"/>
        <v>Rit1250</v>
      </c>
      <c r="M251" t="str">
        <f t="shared" si="10"/>
        <v>Monor</v>
      </c>
      <c r="N251" t="str">
        <f t="shared" si="11"/>
        <v>onit</v>
      </c>
    </row>
    <row r="252" spans="1:14" x14ac:dyDescent="0.3">
      <c r="A252" s="8">
        <v>1251</v>
      </c>
      <c r="B252" s="8" t="s">
        <v>55</v>
      </c>
      <c r="C252" s="8" t="s">
        <v>38</v>
      </c>
      <c r="D252" s="8" t="s">
        <v>34</v>
      </c>
      <c r="E252" s="8" t="s">
        <v>61</v>
      </c>
      <c r="F252" s="8">
        <v>19</v>
      </c>
      <c r="G252" s="8">
        <v>48548</v>
      </c>
      <c r="H252" s="8">
        <v>0</v>
      </c>
      <c r="I252" s="9">
        <v>46112</v>
      </c>
      <c r="J252" s="9">
        <v>46121</v>
      </c>
      <c r="K252" s="8" t="s">
        <v>51</v>
      </c>
      <c r="L252" t="str">
        <f t="shared" si="9"/>
        <v>Sne1251</v>
      </c>
      <c r="M252" t="str">
        <f t="shared" si="10"/>
        <v>Mouse</v>
      </c>
      <c r="N252" t="str">
        <f t="shared" si="11"/>
        <v>ouse</v>
      </c>
    </row>
    <row r="253" spans="1:14" x14ac:dyDescent="0.3">
      <c r="A253" s="8">
        <v>1252</v>
      </c>
      <c r="B253" s="8" t="s">
        <v>47</v>
      </c>
      <c r="C253" s="8" t="s">
        <v>25</v>
      </c>
      <c r="D253" s="8" t="s">
        <v>13</v>
      </c>
      <c r="E253" s="8" t="s">
        <v>36</v>
      </c>
      <c r="F253" s="8">
        <v>15</v>
      </c>
      <c r="G253" s="8">
        <v>257</v>
      </c>
      <c r="H253" s="8">
        <v>5</v>
      </c>
      <c r="I253" s="9">
        <v>46166</v>
      </c>
      <c r="J253" s="9">
        <v>46173</v>
      </c>
      <c r="K253" s="8" t="s">
        <v>20</v>
      </c>
      <c r="L253" t="str">
        <f t="shared" si="9"/>
        <v>Yas1252</v>
      </c>
      <c r="M253" t="str">
        <f t="shared" si="10"/>
        <v>Staer</v>
      </c>
      <c r="N253" t="str">
        <f t="shared" si="11"/>
        <v>tapl</v>
      </c>
    </row>
    <row r="254" spans="1:14" x14ac:dyDescent="0.3">
      <c r="A254" s="8">
        <v>1253</v>
      </c>
      <c r="B254" s="8" t="s">
        <v>21</v>
      </c>
      <c r="C254" s="8" t="s">
        <v>31</v>
      </c>
      <c r="D254" s="8" t="s">
        <v>34</v>
      </c>
      <c r="E254" s="8" t="s">
        <v>45</v>
      </c>
      <c r="F254" s="8">
        <v>20</v>
      </c>
      <c r="G254" s="8">
        <v>47880</v>
      </c>
      <c r="H254" s="8">
        <v>7</v>
      </c>
      <c r="I254" s="9">
        <v>46074</v>
      </c>
      <c r="J254" s="9">
        <v>46075</v>
      </c>
      <c r="K254" s="8" t="s">
        <v>29</v>
      </c>
      <c r="L254" t="str">
        <f t="shared" si="9"/>
        <v>Mee1253</v>
      </c>
      <c r="M254" t="str">
        <f t="shared" si="10"/>
        <v>Monor</v>
      </c>
      <c r="N254" t="str">
        <f t="shared" si="11"/>
        <v>onit</v>
      </c>
    </row>
    <row r="255" spans="1:14" x14ac:dyDescent="0.3">
      <c r="A255" s="8">
        <v>1254</v>
      </c>
      <c r="B255" s="8" t="s">
        <v>52</v>
      </c>
      <c r="C255" s="8" t="s">
        <v>22</v>
      </c>
      <c r="D255" s="8" t="s">
        <v>13</v>
      </c>
      <c r="E255" s="8" t="s">
        <v>50</v>
      </c>
      <c r="F255" s="8">
        <v>18</v>
      </c>
      <c r="G255" s="8">
        <v>447</v>
      </c>
      <c r="H255" s="8">
        <v>15</v>
      </c>
      <c r="I255" s="9">
        <v>46141</v>
      </c>
      <c r="J255" s="9">
        <v>46149</v>
      </c>
      <c r="K255" s="8" t="s">
        <v>24</v>
      </c>
      <c r="L255" t="str">
        <f t="shared" si="9"/>
        <v>Kom1254</v>
      </c>
      <c r="M255" t="str">
        <f t="shared" si="10"/>
        <v>Marer</v>
      </c>
      <c r="N255" t="str">
        <f t="shared" si="11"/>
        <v>arke</v>
      </c>
    </row>
    <row r="256" spans="1:14" x14ac:dyDescent="0.3">
      <c r="A256" s="8">
        <v>1255</v>
      </c>
      <c r="B256" s="8" t="s">
        <v>32</v>
      </c>
      <c r="C256" s="8" t="s">
        <v>17</v>
      </c>
      <c r="D256" s="8" t="s">
        <v>18</v>
      </c>
      <c r="E256" s="8" t="s">
        <v>19</v>
      </c>
      <c r="F256" s="8">
        <v>1</v>
      </c>
      <c r="G256" s="8">
        <v>2240</v>
      </c>
      <c r="H256" s="8">
        <v>5</v>
      </c>
      <c r="I256" s="9">
        <v>46091</v>
      </c>
      <c r="J256" s="9">
        <v>46095</v>
      </c>
      <c r="K256" s="8" t="s">
        <v>20</v>
      </c>
      <c r="L256" t="str">
        <f t="shared" si="9"/>
        <v>Ash1255</v>
      </c>
      <c r="M256" t="str">
        <f t="shared" si="10"/>
        <v>Dessk</v>
      </c>
      <c r="N256" t="str">
        <f t="shared" si="11"/>
        <v>esk</v>
      </c>
    </row>
    <row r="257" spans="1:14" x14ac:dyDescent="0.3">
      <c r="A257" s="8">
        <v>1256</v>
      </c>
      <c r="B257" s="8" t="s">
        <v>48</v>
      </c>
      <c r="C257" s="8" t="s">
        <v>31</v>
      </c>
      <c r="D257" s="8" t="s">
        <v>13</v>
      </c>
      <c r="E257" s="8" t="s">
        <v>50</v>
      </c>
      <c r="F257" s="8">
        <v>19</v>
      </c>
      <c r="G257" s="8">
        <v>406</v>
      </c>
      <c r="H257" s="8">
        <v>7</v>
      </c>
      <c r="I257" s="9">
        <v>46057</v>
      </c>
      <c r="J257" s="9">
        <v>46061</v>
      </c>
      <c r="K257" s="8" t="s">
        <v>15</v>
      </c>
      <c r="L257" t="str">
        <f t="shared" si="9"/>
        <v>Nit1256</v>
      </c>
      <c r="M257" t="str">
        <f t="shared" si="10"/>
        <v>Marer</v>
      </c>
      <c r="N257" t="str">
        <f t="shared" si="11"/>
        <v>arke</v>
      </c>
    </row>
    <row r="258" spans="1:14" x14ac:dyDescent="0.3">
      <c r="A258" s="8">
        <v>1257</v>
      </c>
      <c r="B258" s="8" t="s">
        <v>54</v>
      </c>
      <c r="C258" s="8" t="s">
        <v>25</v>
      </c>
      <c r="D258" s="8" t="s">
        <v>34</v>
      </c>
      <c r="E258" s="8" t="s">
        <v>61</v>
      </c>
      <c r="F258" s="8">
        <v>7</v>
      </c>
      <c r="G258" s="8">
        <v>53243</v>
      </c>
      <c r="H258" s="8">
        <v>12</v>
      </c>
      <c r="I258" s="9">
        <v>46161</v>
      </c>
      <c r="J258" s="9">
        <v>46171</v>
      </c>
      <c r="K258" s="8" t="s">
        <v>15</v>
      </c>
      <c r="L258" t="str">
        <f t="shared" si="9"/>
        <v>Man1257</v>
      </c>
      <c r="M258" t="str">
        <f t="shared" si="10"/>
        <v>Mouse</v>
      </c>
      <c r="N258" t="str">
        <f t="shared" si="11"/>
        <v>ouse</v>
      </c>
    </row>
    <row r="259" spans="1:14" x14ac:dyDescent="0.3">
      <c r="A259" s="8">
        <v>1258</v>
      </c>
      <c r="B259" s="8" t="s">
        <v>32</v>
      </c>
      <c r="C259" s="8" t="s">
        <v>31</v>
      </c>
      <c r="D259" s="8" t="s">
        <v>34</v>
      </c>
      <c r="E259" s="8" t="s">
        <v>60</v>
      </c>
      <c r="F259" s="8">
        <v>1</v>
      </c>
      <c r="G259" s="8">
        <v>10600</v>
      </c>
      <c r="H259" s="8">
        <v>5</v>
      </c>
      <c r="I259" s="9">
        <v>46137</v>
      </c>
      <c r="J259" s="9">
        <v>46138</v>
      </c>
      <c r="K259" s="8" t="s">
        <v>29</v>
      </c>
      <c r="L259" t="str">
        <f t="shared" ref="L259:L322" si="12">LEFT(B259, 3)&amp;A259</f>
        <v>Ash1258</v>
      </c>
      <c r="M259" t="str">
        <f t="shared" ref="M259:M322" si="13">LEFT(E259, 3)&amp; RIGHT(E259, 2)</f>
        <v>Lapop</v>
      </c>
      <c r="N259" t="str">
        <f t="shared" ref="N259:N322" si="14">MID(E259, 2, 4)</f>
        <v>apto</v>
      </c>
    </row>
    <row r="260" spans="1:14" x14ac:dyDescent="0.3">
      <c r="A260" s="8">
        <v>1259</v>
      </c>
      <c r="B260" s="8" t="s">
        <v>42</v>
      </c>
      <c r="C260" s="8" t="s">
        <v>22</v>
      </c>
      <c r="D260" s="8" t="s">
        <v>34</v>
      </c>
      <c r="E260" s="8" t="s">
        <v>45</v>
      </c>
      <c r="F260" s="8">
        <v>10</v>
      </c>
      <c r="G260" s="8">
        <v>38771</v>
      </c>
      <c r="H260" s="8">
        <v>15</v>
      </c>
      <c r="I260" s="9">
        <v>46172</v>
      </c>
      <c r="J260" s="9">
        <v>46182</v>
      </c>
      <c r="K260" s="8" t="s">
        <v>15</v>
      </c>
      <c r="L260" t="str">
        <f t="shared" si="12"/>
        <v>Nis1259</v>
      </c>
      <c r="M260" t="str">
        <f t="shared" si="13"/>
        <v>Monor</v>
      </c>
      <c r="N260" t="str">
        <f t="shared" si="14"/>
        <v>onit</v>
      </c>
    </row>
    <row r="261" spans="1:14" x14ac:dyDescent="0.3">
      <c r="A261" s="8">
        <v>1260</v>
      </c>
      <c r="B261" s="8" t="s">
        <v>54</v>
      </c>
      <c r="C261" s="8" t="s">
        <v>38</v>
      </c>
      <c r="D261" s="8" t="s">
        <v>34</v>
      </c>
      <c r="E261" s="8" t="s">
        <v>41</v>
      </c>
      <c r="F261" s="8">
        <v>19</v>
      </c>
      <c r="G261" s="8">
        <v>54981</v>
      </c>
      <c r="H261" s="8">
        <v>10</v>
      </c>
      <c r="I261" s="9">
        <v>46040</v>
      </c>
      <c r="J261" s="9">
        <v>46045</v>
      </c>
      <c r="K261" s="8" t="s">
        <v>29</v>
      </c>
      <c r="L261" t="str">
        <f t="shared" si="12"/>
        <v>Man1260</v>
      </c>
      <c r="M261" t="str">
        <f t="shared" si="13"/>
        <v>Heaet</v>
      </c>
      <c r="N261" t="str">
        <f t="shared" si="14"/>
        <v>eads</v>
      </c>
    </row>
    <row r="262" spans="1:14" x14ac:dyDescent="0.3">
      <c r="A262" s="8">
        <v>1261</v>
      </c>
      <c r="B262" s="8" t="s">
        <v>40</v>
      </c>
      <c r="C262" s="8" t="s">
        <v>17</v>
      </c>
      <c r="D262" s="8" t="s">
        <v>13</v>
      </c>
      <c r="E262" s="8" t="s">
        <v>50</v>
      </c>
      <c r="F262" s="8">
        <v>20</v>
      </c>
      <c r="G262" s="8">
        <v>162</v>
      </c>
      <c r="H262" s="8">
        <v>7</v>
      </c>
      <c r="I262" s="9">
        <v>46119</v>
      </c>
      <c r="J262" s="9">
        <v>46120</v>
      </c>
      <c r="K262" s="8" t="s">
        <v>51</v>
      </c>
      <c r="L262" t="str">
        <f t="shared" si="12"/>
        <v>Dee1261</v>
      </c>
      <c r="M262" t="str">
        <f t="shared" si="13"/>
        <v>Marer</v>
      </c>
      <c r="N262" t="str">
        <f t="shared" si="14"/>
        <v>arke</v>
      </c>
    </row>
    <row r="263" spans="1:14" x14ac:dyDescent="0.3">
      <c r="A263" s="8">
        <v>1262</v>
      </c>
      <c r="B263" s="8" t="s">
        <v>16</v>
      </c>
      <c r="C263" s="8" t="s">
        <v>22</v>
      </c>
      <c r="D263" s="8" t="s">
        <v>18</v>
      </c>
      <c r="E263" s="8" t="s">
        <v>28</v>
      </c>
      <c r="F263" s="8">
        <v>9</v>
      </c>
      <c r="G263" s="8">
        <v>2231</v>
      </c>
      <c r="H263" s="8">
        <v>15</v>
      </c>
      <c r="I263" s="9">
        <v>46174</v>
      </c>
      <c r="J263" s="9">
        <v>46183</v>
      </c>
      <c r="K263" s="8" t="s">
        <v>15</v>
      </c>
      <c r="L263" t="str">
        <f t="shared" si="12"/>
        <v>Poo1262</v>
      </c>
      <c r="M263" t="str">
        <f t="shared" si="13"/>
        <v>Chair</v>
      </c>
      <c r="N263" t="str">
        <f t="shared" si="14"/>
        <v>hair</v>
      </c>
    </row>
    <row r="264" spans="1:14" x14ac:dyDescent="0.3">
      <c r="A264" s="8">
        <v>1263</v>
      </c>
      <c r="B264" s="8" t="s">
        <v>29</v>
      </c>
      <c r="C264" s="8" t="s">
        <v>38</v>
      </c>
      <c r="D264" s="8" t="s">
        <v>18</v>
      </c>
      <c r="E264" s="8" t="s">
        <v>28</v>
      </c>
      <c r="F264" s="8">
        <v>10</v>
      </c>
      <c r="G264" s="8">
        <v>1505</v>
      </c>
      <c r="H264" s="8">
        <v>0</v>
      </c>
      <c r="I264" s="9">
        <v>46130</v>
      </c>
      <c r="J264" s="9">
        <v>46138</v>
      </c>
      <c r="K264" s="8" t="s">
        <v>51</v>
      </c>
      <c r="L264" t="str">
        <f t="shared" si="12"/>
        <v>Pri1263</v>
      </c>
      <c r="M264" t="str">
        <f t="shared" si="13"/>
        <v>Chair</v>
      </c>
      <c r="N264" t="str">
        <f t="shared" si="14"/>
        <v>hair</v>
      </c>
    </row>
    <row r="265" spans="1:14" x14ac:dyDescent="0.3">
      <c r="A265" s="8">
        <v>1264</v>
      </c>
      <c r="B265" s="8" t="s">
        <v>11</v>
      </c>
      <c r="C265" s="8" t="s">
        <v>22</v>
      </c>
      <c r="D265" s="8" t="s">
        <v>18</v>
      </c>
      <c r="E265" s="8" t="s">
        <v>28</v>
      </c>
      <c r="F265" s="8">
        <v>15</v>
      </c>
      <c r="G265" s="8">
        <v>6365</v>
      </c>
      <c r="H265" s="8">
        <v>10</v>
      </c>
      <c r="I265" s="9">
        <v>46200</v>
      </c>
      <c r="J265" s="9">
        <v>46206</v>
      </c>
      <c r="K265" s="8" t="s">
        <v>20</v>
      </c>
      <c r="L265" t="str">
        <f t="shared" si="12"/>
        <v>Rit1264</v>
      </c>
      <c r="M265" t="str">
        <f t="shared" si="13"/>
        <v>Chair</v>
      </c>
      <c r="N265" t="str">
        <f t="shared" si="14"/>
        <v>hair</v>
      </c>
    </row>
    <row r="266" spans="1:14" x14ac:dyDescent="0.3">
      <c r="A266" s="8">
        <v>1265</v>
      </c>
      <c r="B266" s="8" t="s">
        <v>58</v>
      </c>
      <c r="C266" s="8" t="s">
        <v>22</v>
      </c>
      <c r="D266" s="8" t="s">
        <v>18</v>
      </c>
      <c r="E266" s="8" t="s">
        <v>19</v>
      </c>
      <c r="F266" s="8">
        <v>1</v>
      </c>
      <c r="G266" s="8">
        <v>1052</v>
      </c>
      <c r="H266" s="8">
        <v>7</v>
      </c>
      <c r="I266" s="9">
        <v>46117</v>
      </c>
      <c r="J266" s="9">
        <v>46127</v>
      </c>
      <c r="K266" s="8" t="s">
        <v>51</v>
      </c>
      <c r="L266" t="str">
        <f t="shared" si="12"/>
        <v>Roh1265</v>
      </c>
      <c r="M266" t="str">
        <f t="shared" si="13"/>
        <v>Dessk</v>
      </c>
      <c r="N266" t="str">
        <f t="shared" si="14"/>
        <v>esk</v>
      </c>
    </row>
    <row r="267" spans="1:14" x14ac:dyDescent="0.3">
      <c r="A267" s="8">
        <v>1266</v>
      </c>
      <c r="B267" s="8" t="s">
        <v>29</v>
      </c>
      <c r="C267" s="8" t="s">
        <v>33</v>
      </c>
      <c r="D267" s="8" t="s">
        <v>13</v>
      </c>
      <c r="E267" s="8" t="s">
        <v>14</v>
      </c>
      <c r="F267" s="8">
        <v>17</v>
      </c>
      <c r="G267" s="8">
        <v>365</v>
      </c>
      <c r="H267" s="8">
        <v>2</v>
      </c>
      <c r="I267" s="9">
        <v>46096</v>
      </c>
      <c r="J267" s="9">
        <v>46104</v>
      </c>
      <c r="K267" s="8" t="s">
        <v>51</v>
      </c>
      <c r="L267" t="str">
        <f t="shared" si="12"/>
        <v>Pri1266</v>
      </c>
      <c r="M267" t="str">
        <f t="shared" si="13"/>
        <v>Notok</v>
      </c>
      <c r="N267" t="str">
        <f t="shared" si="14"/>
        <v>oteb</v>
      </c>
    </row>
    <row r="268" spans="1:14" x14ac:dyDescent="0.3">
      <c r="A268" s="8">
        <v>1267</v>
      </c>
      <c r="B268" s="8" t="s">
        <v>27</v>
      </c>
      <c r="C268" s="8" t="s">
        <v>38</v>
      </c>
      <c r="D268" s="8" t="s">
        <v>13</v>
      </c>
      <c r="E268" s="8" t="s">
        <v>50</v>
      </c>
      <c r="F268" s="8">
        <v>1</v>
      </c>
      <c r="G268" s="8">
        <v>50</v>
      </c>
      <c r="H268" s="8">
        <v>0</v>
      </c>
      <c r="I268" s="9">
        <v>46129</v>
      </c>
      <c r="J268" s="9">
        <v>46138</v>
      </c>
      <c r="K268" s="8" t="s">
        <v>20</v>
      </c>
      <c r="L268" t="str">
        <f t="shared" si="12"/>
        <v>Arj1267</v>
      </c>
      <c r="M268" t="str">
        <f t="shared" si="13"/>
        <v>Marer</v>
      </c>
      <c r="N268" t="str">
        <f t="shared" si="14"/>
        <v>arke</v>
      </c>
    </row>
    <row r="269" spans="1:14" x14ac:dyDescent="0.3">
      <c r="A269" s="8">
        <v>1268</v>
      </c>
      <c r="B269" s="8" t="s">
        <v>42</v>
      </c>
      <c r="C269" s="8" t="s">
        <v>38</v>
      </c>
      <c r="D269" s="8" t="s">
        <v>34</v>
      </c>
      <c r="E269" s="8" t="s">
        <v>45</v>
      </c>
      <c r="F269" s="8">
        <v>10</v>
      </c>
      <c r="G269" s="8">
        <v>46291</v>
      </c>
      <c r="H269" s="8">
        <v>12</v>
      </c>
      <c r="I269" s="9">
        <v>46199</v>
      </c>
      <c r="J269" s="9">
        <v>46202</v>
      </c>
      <c r="K269" s="8" t="s">
        <v>20</v>
      </c>
      <c r="L269" t="str">
        <f t="shared" si="12"/>
        <v>Nis1268</v>
      </c>
      <c r="M269" t="str">
        <f t="shared" si="13"/>
        <v>Monor</v>
      </c>
      <c r="N269" t="str">
        <f t="shared" si="14"/>
        <v>onit</v>
      </c>
    </row>
    <row r="270" spans="1:14" x14ac:dyDescent="0.3">
      <c r="A270" s="8">
        <v>1269</v>
      </c>
      <c r="B270" s="8" t="s">
        <v>52</v>
      </c>
      <c r="C270" s="8" t="s">
        <v>43</v>
      </c>
      <c r="D270" s="8" t="s">
        <v>18</v>
      </c>
      <c r="E270" s="8" t="s">
        <v>19</v>
      </c>
      <c r="F270" s="8">
        <v>14</v>
      </c>
      <c r="G270" s="8">
        <v>5704</v>
      </c>
      <c r="H270" s="8">
        <v>2</v>
      </c>
      <c r="I270" s="9">
        <v>46129</v>
      </c>
      <c r="J270" s="9">
        <v>46131</v>
      </c>
      <c r="K270" s="8" t="s">
        <v>15</v>
      </c>
      <c r="L270" t="str">
        <f t="shared" si="12"/>
        <v>Kom1269</v>
      </c>
      <c r="M270" t="str">
        <f t="shared" si="13"/>
        <v>Dessk</v>
      </c>
      <c r="N270" t="str">
        <f t="shared" si="14"/>
        <v>esk</v>
      </c>
    </row>
    <row r="271" spans="1:14" x14ac:dyDescent="0.3">
      <c r="A271" s="8">
        <v>1270</v>
      </c>
      <c r="B271" s="8" t="s">
        <v>49</v>
      </c>
      <c r="C271" s="8" t="s">
        <v>43</v>
      </c>
      <c r="D271" s="8" t="s">
        <v>34</v>
      </c>
      <c r="E271" s="8" t="s">
        <v>35</v>
      </c>
      <c r="F271" s="8">
        <v>16</v>
      </c>
      <c r="G271" s="8">
        <v>62941</v>
      </c>
      <c r="H271" s="8">
        <v>7</v>
      </c>
      <c r="I271" s="9">
        <v>46135</v>
      </c>
      <c r="J271" s="9">
        <v>46141</v>
      </c>
      <c r="K271" s="8" t="s">
        <v>51</v>
      </c>
      <c r="L271" t="str">
        <f t="shared" si="12"/>
        <v>Aja1270</v>
      </c>
      <c r="M271" t="str">
        <f t="shared" si="13"/>
        <v>Prier</v>
      </c>
      <c r="N271" t="str">
        <f t="shared" si="14"/>
        <v>rint</v>
      </c>
    </row>
    <row r="272" spans="1:14" x14ac:dyDescent="0.3">
      <c r="A272" s="8">
        <v>1271</v>
      </c>
      <c r="B272" s="8" t="s">
        <v>40</v>
      </c>
      <c r="C272" s="8" t="s">
        <v>33</v>
      </c>
      <c r="D272" s="8" t="s">
        <v>34</v>
      </c>
      <c r="E272" s="8" t="s">
        <v>60</v>
      </c>
      <c r="F272" s="8">
        <v>20</v>
      </c>
      <c r="G272" s="8">
        <v>36941</v>
      </c>
      <c r="H272" s="8">
        <v>15</v>
      </c>
      <c r="I272" s="9">
        <v>46083</v>
      </c>
      <c r="J272" s="9">
        <v>46085</v>
      </c>
      <c r="K272" s="8" t="s">
        <v>29</v>
      </c>
      <c r="L272" t="str">
        <f t="shared" si="12"/>
        <v>Dee1271</v>
      </c>
      <c r="M272" t="str">
        <f t="shared" si="13"/>
        <v>Lapop</v>
      </c>
      <c r="N272" t="str">
        <f t="shared" si="14"/>
        <v>apto</v>
      </c>
    </row>
    <row r="273" spans="1:14" x14ac:dyDescent="0.3">
      <c r="A273" s="8">
        <v>1272</v>
      </c>
      <c r="B273" s="8" t="s">
        <v>52</v>
      </c>
      <c r="C273" s="8" t="s">
        <v>38</v>
      </c>
      <c r="D273" s="8" t="s">
        <v>34</v>
      </c>
      <c r="E273" s="8" t="s">
        <v>41</v>
      </c>
      <c r="F273" s="8">
        <v>13</v>
      </c>
      <c r="G273" s="8">
        <v>42179</v>
      </c>
      <c r="H273" s="8">
        <v>0</v>
      </c>
      <c r="I273" s="9">
        <v>46078</v>
      </c>
      <c r="J273" s="9">
        <v>46084</v>
      </c>
      <c r="K273" s="8" t="s">
        <v>20</v>
      </c>
      <c r="L273" t="str">
        <f t="shared" si="12"/>
        <v>Kom1272</v>
      </c>
      <c r="M273" t="str">
        <f t="shared" si="13"/>
        <v>Heaet</v>
      </c>
      <c r="N273" t="str">
        <f t="shared" si="14"/>
        <v>eads</v>
      </c>
    </row>
    <row r="274" spans="1:14" x14ac:dyDescent="0.3">
      <c r="A274" s="8">
        <v>1273</v>
      </c>
      <c r="B274" s="8" t="s">
        <v>46</v>
      </c>
      <c r="C274" s="8" t="s">
        <v>25</v>
      </c>
      <c r="D274" s="8" t="s">
        <v>34</v>
      </c>
      <c r="E274" s="8" t="s">
        <v>39</v>
      </c>
      <c r="F274" s="8">
        <v>12</v>
      </c>
      <c r="G274" s="8">
        <v>20618</v>
      </c>
      <c r="H274" s="8">
        <v>12</v>
      </c>
      <c r="I274" s="9">
        <v>46172</v>
      </c>
      <c r="J274" s="9">
        <v>46174</v>
      </c>
      <c r="K274" s="8" t="s">
        <v>20</v>
      </c>
      <c r="L274" t="str">
        <f t="shared" si="12"/>
        <v>Kir1273</v>
      </c>
      <c r="M274" t="str">
        <f t="shared" si="13"/>
        <v>Keyrd</v>
      </c>
      <c r="N274" t="str">
        <f t="shared" si="14"/>
        <v>eybo</v>
      </c>
    </row>
    <row r="275" spans="1:14" x14ac:dyDescent="0.3">
      <c r="A275" s="8">
        <v>1274</v>
      </c>
      <c r="B275" s="8" t="s">
        <v>26</v>
      </c>
      <c r="C275" s="8" t="s">
        <v>25</v>
      </c>
      <c r="D275" s="8" t="s">
        <v>34</v>
      </c>
      <c r="E275" s="8" t="s">
        <v>41</v>
      </c>
      <c r="F275" s="8">
        <v>13</v>
      </c>
      <c r="G275" s="8">
        <v>36652</v>
      </c>
      <c r="H275" s="8">
        <v>12</v>
      </c>
      <c r="I275" s="9">
        <v>46179</v>
      </c>
      <c r="J275" s="9">
        <v>46186</v>
      </c>
      <c r="K275" s="8" t="s">
        <v>20</v>
      </c>
      <c r="L275" t="str">
        <f t="shared" si="12"/>
        <v>Vik1274</v>
      </c>
      <c r="M275" t="str">
        <f t="shared" si="13"/>
        <v>Heaet</v>
      </c>
      <c r="N275" t="str">
        <f t="shared" si="14"/>
        <v>eads</v>
      </c>
    </row>
    <row r="276" spans="1:14" x14ac:dyDescent="0.3">
      <c r="A276" s="8">
        <v>1275</v>
      </c>
      <c r="B276" s="8" t="s">
        <v>16</v>
      </c>
      <c r="C276" s="8" t="s">
        <v>31</v>
      </c>
      <c r="D276" s="8" t="s">
        <v>13</v>
      </c>
      <c r="E276" s="8" t="s">
        <v>50</v>
      </c>
      <c r="F276" s="8">
        <v>20</v>
      </c>
      <c r="G276" s="8">
        <v>451</v>
      </c>
      <c r="H276" s="8">
        <v>15</v>
      </c>
      <c r="I276" s="9">
        <v>46092</v>
      </c>
      <c r="J276" s="9">
        <v>46094</v>
      </c>
      <c r="K276" s="8" t="s">
        <v>20</v>
      </c>
      <c r="L276" t="str">
        <f t="shared" si="12"/>
        <v>Poo1275</v>
      </c>
      <c r="M276" t="str">
        <f t="shared" si="13"/>
        <v>Marer</v>
      </c>
      <c r="N276" t="str">
        <f t="shared" si="14"/>
        <v>arke</v>
      </c>
    </row>
    <row r="277" spans="1:14" x14ac:dyDescent="0.3">
      <c r="A277" s="8">
        <v>1276</v>
      </c>
      <c r="B277" s="8" t="s">
        <v>40</v>
      </c>
      <c r="C277" s="8" t="s">
        <v>12</v>
      </c>
      <c r="D277" s="8" t="s">
        <v>18</v>
      </c>
      <c r="E277" s="8" t="s">
        <v>19</v>
      </c>
      <c r="F277" s="8">
        <v>1</v>
      </c>
      <c r="G277" s="8">
        <v>13437</v>
      </c>
      <c r="H277" s="8">
        <v>15</v>
      </c>
      <c r="I277" s="9">
        <v>46097</v>
      </c>
      <c r="J277" s="9">
        <v>46099</v>
      </c>
      <c r="K277" s="8" t="s">
        <v>24</v>
      </c>
      <c r="L277" t="str">
        <f t="shared" si="12"/>
        <v>Dee1276</v>
      </c>
      <c r="M277" t="str">
        <f t="shared" si="13"/>
        <v>Dessk</v>
      </c>
      <c r="N277" t="str">
        <f t="shared" si="14"/>
        <v>esk</v>
      </c>
    </row>
    <row r="278" spans="1:14" x14ac:dyDescent="0.3">
      <c r="A278" s="8">
        <v>1277</v>
      </c>
      <c r="B278" s="8" t="s">
        <v>59</v>
      </c>
      <c r="C278" s="8" t="s">
        <v>17</v>
      </c>
      <c r="D278" s="8" t="s">
        <v>13</v>
      </c>
      <c r="E278" s="8" t="s">
        <v>36</v>
      </c>
      <c r="F278" s="8">
        <v>14</v>
      </c>
      <c r="G278" s="8">
        <v>276</v>
      </c>
      <c r="H278" s="8">
        <v>0</v>
      </c>
      <c r="I278" s="9">
        <v>46086</v>
      </c>
      <c r="J278" s="9">
        <v>46089</v>
      </c>
      <c r="K278" s="8" t="s">
        <v>15</v>
      </c>
      <c r="L278" t="str">
        <f t="shared" si="12"/>
        <v>Ani1277</v>
      </c>
      <c r="M278" t="str">
        <f t="shared" si="13"/>
        <v>Staer</v>
      </c>
      <c r="N278" t="str">
        <f t="shared" si="14"/>
        <v>tapl</v>
      </c>
    </row>
    <row r="279" spans="1:14" x14ac:dyDescent="0.3">
      <c r="A279" s="8">
        <v>1278</v>
      </c>
      <c r="B279" s="8" t="s">
        <v>47</v>
      </c>
      <c r="C279" s="8" t="s">
        <v>22</v>
      </c>
      <c r="D279" s="8" t="s">
        <v>34</v>
      </c>
      <c r="E279" s="8" t="s">
        <v>61</v>
      </c>
      <c r="F279" s="8">
        <v>4</v>
      </c>
      <c r="G279" s="8">
        <v>20639</v>
      </c>
      <c r="H279" s="8">
        <v>7</v>
      </c>
      <c r="I279" s="9">
        <v>46180</v>
      </c>
      <c r="J279" s="9">
        <v>46186</v>
      </c>
      <c r="K279" s="8" t="s">
        <v>20</v>
      </c>
      <c r="L279" t="str">
        <f t="shared" si="12"/>
        <v>Yas1278</v>
      </c>
      <c r="M279" t="str">
        <f t="shared" si="13"/>
        <v>Mouse</v>
      </c>
      <c r="N279" t="str">
        <f t="shared" si="14"/>
        <v>ouse</v>
      </c>
    </row>
    <row r="280" spans="1:14" x14ac:dyDescent="0.3">
      <c r="A280" s="8">
        <v>1279</v>
      </c>
      <c r="B280" s="8" t="s">
        <v>55</v>
      </c>
      <c r="C280" s="8" t="s">
        <v>33</v>
      </c>
      <c r="D280" s="8" t="s">
        <v>34</v>
      </c>
      <c r="E280" s="8" t="s">
        <v>45</v>
      </c>
      <c r="F280" s="8">
        <v>20</v>
      </c>
      <c r="G280" s="8">
        <v>49042</v>
      </c>
      <c r="H280" s="8">
        <v>2</v>
      </c>
      <c r="I280" s="9">
        <v>46124</v>
      </c>
      <c r="J280" s="9">
        <v>46126</v>
      </c>
      <c r="K280" s="8" t="s">
        <v>15</v>
      </c>
      <c r="L280" t="str">
        <f t="shared" si="12"/>
        <v>Sne1279</v>
      </c>
      <c r="M280" t="str">
        <f t="shared" si="13"/>
        <v>Monor</v>
      </c>
      <c r="N280" t="str">
        <f t="shared" si="14"/>
        <v>onit</v>
      </c>
    </row>
    <row r="281" spans="1:14" x14ac:dyDescent="0.3">
      <c r="A281" s="8">
        <v>1280</v>
      </c>
      <c r="B281" s="8" t="s">
        <v>59</v>
      </c>
      <c r="C281" s="8" t="s">
        <v>38</v>
      </c>
      <c r="D281" s="8" t="s">
        <v>13</v>
      </c>
      <c r="E281" s="8" t="s">
        <v>53</v>
      </c>
      <c r="F281" s="8">
        <v>9</v>
      </c>
      <c r="G281" s="8">
        <v>50</v>
      </c>
      <c r="H281" s="8">
        <v>7</v>
      </c>
      <c r="I281" s="9">
        <v>46085</v>
      </c>
      <c r="J281" s="9">
        <v>46095</v>
      </c>
      <c r="K281" s="8" t="s">
        <v>51</v>
      </c>
      <c r="L281" t="str">
        <f t="shared" si="12"/>
        <v>Ani1280</v>
      </c>
      <c r="M281" t="str">
        <f t="shared" si="13"/>
        <v>Diary</v>
      </c>
      <c r="N281" t="str">
        <f t="shared" si="14"/>
        <v>iary</v>
      </c>
    </row>
    <row r="282" spans="1:14" x14ac:dyDescent="0.3">
      <c r="A282" s="8">
        <v>1281</v>
      </c>
      <c r="B282" s="8" t="s">
        <v>55</v>
      </c>
      <c r="C282" s="8" t="s">
        <v>17</v>
      </c>
      <c r="D282" s="8" t="s">
        <v>13</v>
      </c>
      <c r="E282" s="8" t="s">
        <v>50</v>
      </c>
      <c r="F282" s="8">
        <v>6</v>
      </c>
      <c r="G282" s="8">
        <v>253</v>
      </c>
      <c r="H282" s="8">
        <v>0</v>
      </c>
      <c r="I282" s="9">
        <v>46055</v>
      </c>
      <c r="J282" s="9">
        <v>46063</v>
      </c>
      <c r="K282" s="8" t="s">
        <v>24</v>
      </c>
      <c r="L282" t="str">
        <f t="shared" si="12"/>
        <v>Sne1281</v>
      </c>
      <c r="M282" t="str">
        <f t="shared" si="13"/>
        <v>Marer</v>
      </c>
      <c r="N282" t="str">
        <f t="shared" si="14"/>
        <v>arke</v>
      </c>
    </row>
    <row r="283" spans="1:14" x14ac:dyDescent="0.3">
      <c r="A283" s="8">
        <v>1282</v>
      </c>
      <c r="B283" s="8" t="s">
        <v>57</v>
      </c>
      <c r="C283" s="8" t="s">
        <v>43</v>
      </c>
      <c r="D283" s="8" t="s">
        <v>18</v>
      </c>
      <c r="E283" s="8" t="s">
        <v>44</v>
      </c>
      <c r="F283" s="8">
        <v>12</v>
      </c>
      <c r="G283" s="8">
        <v>3178</v>
      </c>
      <c r="H283" s="8">
        <v>10</v>
      </c>
      <c r="I283" s="9">
        <v>46176</v>
      </c>
      <c r="J283" s="9">
        <v>46177</v>
      </c>
      <c r="K283" s="8" t="s">
        <v>29</v>
      </c>
      <c r="L283" t="str">
        <f t="shared" si="12"/>
        <v>Sar1282</v>
      </c>
      <c r="M283" t="str">
        <f t="shared" si="13"/>
        <v>Boolf</v>
      </c>
      <c r="N283" t="str">
        <f t="shared" si="14"/>
        <v>ooks</v>
      </c>
    </row>
    <row r="284" spans="1:14" x14ac:dyDescent="0.3">
      <c r="A284" s="8">
        <v>1283</v>
      </c>
      <c r="B284" s="8" t="s">
        <v>40</v>
      </c>
      <c r="C284" s="8" t="s">
        <v>12</v>
      </c>
      <c r="D284" s="8" t="s">
        <v>18</v>
      </c>
      <c r="E284" s="8" t="s">
        <v>23</v>
      </c>
      <c r="F284" s="8">
        <v>6</v>
      </c>
      <c r="G284" s="8">
        <v>1167</v>
      </c>
      <c r="H284" s="8">
        <v>2</v>
      </c>
      <c r="I284" s="9">
        <v>46100</v>
      </c>
      <c r="J284" s="9">
        <v>46106</v>
      </c>
      <c r="K284" s="8" t="s">
        <v>15</v>
      </c>
      <c r="L284" t="str">
        <f t="shared" si="12"/>
        <v>Dee1283</v>
      </c>
      <c r="M284" t="str">
        <f t="shared" si="13"/>
        <v>Table</v>
      </c>
      <c r="N284" t="str">
        <f t="shared" si="14"/>
        <v>able</v>
      </c>
    </row>
    <row r="285" spans="1:14" x14ac:dyDescent="0.3">
      <c r="A285" s="8">
        <v>1284</v>
      </c>
      <c r="B285" s="8" t="s">
        <v>40</v>
      </c>
      <c r="C285" s="8" t="s">
        <v>25</v>
      </c>
      <c r="D285" s="8" t="s">
        <v>13</v>
      </c>
      <c r="E285" s="8" t="s">
        <v>37</v>
      </c>
      <c r="F285" s="8">
        <v>16</v>
      </c>
      <c r="G285" s="8">
        <v>419</v>
      </c>
      <c r="H285" s="8">
        <v>2</v>
      </c>
      <c r="I285" s="9">
        <v>46082</v>
      </c>
      <c r="J285" s="9">
        <v>46090</v>
      </c>
      <c r="K285" s="8" t="s">
        <v>15</v>
      </c>
      <c r="L285" t="str">
        <f t="shared" si="12"/>
        <v>Dee1284</v>
      </c>
      <c r="M285" t="str">
        <f t="shared" si="13"/>
        <v>Penck</v>
      </c>
      <c r="N285" t="str">
        <f t="shared" si="14"/>
        <v>en P</v>
      </c>
    </row>
    <row r="286" spans="1:14" x14ac:dyDescent="0.3">
      <c r="A286" s="8">
        <v>1285</v>
      </c>
      <c r="B286" s="8" t="s">
        <v>32</v>
      </c>
      <c r="C286" s="8" t="s">
        <v>38</v>
      </c>
      <c r="D286" s="8" t="s">
        <v>13</v>
      </c>
      <c r="E286" s="8" t="s">
        <v>36</v>
      </c>
      <c r="F286" s="8">
        <v>7</v>
      </c>
      <c r="G286" s="8">
        <v>439</v>
      </c>
      <c r="H286" s="8">
        <v>15</v>
      </c>
      <c r="I286" s="9">
        <v>46055</v>
      </c>
      <c r="J286" s="9">
        <v>46058</v>
      </c>
      <c r="K286" s="8" t="s">
        <v>20</v>
      </c>
      <c r="L286" t="str">
        <f t="shared" si="12"/>
        <v>Ash1285</v>
      </c>
      <c r="M286" t="str">
        <f t="shared" si="13"/>
        <v>Staer</v>
      </c>
      <c r="N286" t="str">
        <f t="shared" si="14"/>
        <v>tapl</v>
      </c>
    </row>
    <row r="287" spans="1:14" x14ac:dyDescent="0.3">
      <c r="A287" s="8">
        <v>1286</v>
      </c>
      <c r="B287" s="8" t="s">
        <v>46</v>
      </c>
      <c r="C287" s="8" t="s">
        <v>17</v>
      </c>
      <c r="D287" s="8" t="s">
        <v>18</v>
      </c>
      <c r="E287" s="8" t="s">
        <v>56</v>
      </c>
      <c r="F287" s="8">
        <v>9</v>
      </c>
      <c r="G287" s="8">
        <v>1340</v>
      </c>
      <c r="H287" s="8">
        <v>2</v>
      </c>
      <c r="I287" s="9">
        <v>46168</v>
      </c>
      <c r="J287" s="9">
        <v>46173</v>
      </c>
      <c r="K287" s="8" t="s">
        <v>15</v>
      </c>
      <c r="L287" t="str">
        <f t="shared" si="12"/>
        <v>Kir1286</v>
      </c>
      <c r="M287" t="str">
        <f t="shared" si="13"/>
        <v>Cabet</v>
      </c>
      <c r="N287" t="str">
        <f t="shared" si="14"/>
        <v>abin</v>
      </c>
    </row>
    <row r="288" spans="1:14" x14ac:dyDescent="0.3">
      <c r="A288" s="8">
        <v>1287</v>
      </c>
      <c r="B288" s="8" t="s">
        <v>59</v>
      </c>
      <c r="C288" s="8" t="s">
        <v>31</v>
      </c>
      <c r="D288" s="8" t="s">
        <v>13</v>
      </c>
      <c r="E288" s="8" t="s">
        <v>14</v>
      </c>
      <c r="F288" s="8">
        <v>15</v>
      </c>
      <c r="G288" s="8">
        <v>251</v>
      </c>
      <c r="H288" s="8">
        <v>2</v>
      </c>
      <c r="I288" s="9">
        <v>46116</v>
      </c>
      <c r="J288" s="9">
        <v>46122</v>
      </c>
      <c r="K288" s="8" t="s">
        <v>51</v>
      </c>
      <c r="L288" t="str">
        <f t="shared" si="12"/>
        <v>Ani1287</v>
      </c>
      <c r="M288" t="str">
        <f t="shared" si="13"/>
        <v>Notok</v>
      </c>
      <c r="N288" t="str">
        <f t="shared" si="14"/>
        <v>oteb</v>
      </c>
    </row>
    <row r="289" spans="1:14" x14ac:dyDescent="0.3">
      <c r="A289" s="8">
        <v>1288</v>
      </c>
      <c r="B289" s="8" t="s">
        <v>54</v>
      </c>
      <c r="C289" s="8" t="s">
        <v>22</v>
      </c>
      <c r="D289" s="8" t="s">
        <v>34</v>
      </c>
      <c r="E289" s="8" t="s">
        <v>60</v>
      </c>
      <c r="F289" s="8">
        <v>14</v>
      </c>
      <c r="G289" s="8">
        <v>35601</v>
      </c>
      <c r="H289" s="8">
        <v>10</v>
      </c>
      <c r="I289" s="9">
        <v>46179</v>
      </c>
      <c r="J289" s="9">
        <v>46187</v>
      </c>
      <c r="K289" s="8" t="s">
        <v>29</v>
      </c>
      <c r="L289" t="str">
        <f t="shared" si="12"/>
        <v>Man1288</v>
      </c>
      <c r="M289" t="str">
        <f t="shared" si="13"/>
        <v>Lapop</v>
      </c>
      <c r="N289" t="str">
        <f t="shared" si="14"/>
        <v>apto</v>
      </c>
    </row>
    <row r="290" spans="1:14" x14ac:dyDescent="0.3">
      <c r="A290" s="8">
        <v>1289</v>
      </c>
      <c r="B290" s="8" t="s">
        <v>26</v>
      </c>
      <c r="C290" s="8" t="s">
        <v>22</v>
      </c>
      <c r="D290" s="8" t="s">
        <v>34</v>
      </c>
      <c r="E290" s="8" t="s">
        <v>45</v>
      </c>
      <c r="F290" s="8">
        <v>19</v>
      </c>
      <c r="G290" s="8">
        <v>25336</v>
      </c>
      <c r="H290" s="8">
        <v>2</v>
      </c>
      <c r="I290" s="9">
        <v>46122</v>
      </c>
      <c r="J290" s="9">
        <v>46130</v>
      </c>
      <c r="K290" s="8" t="s">
        <v>24</v>
      </c>
      <c r="L290" t="str">
        <f t="shared" si="12"/>
        <v>Vik1289</v>
      </c>
      <c r="M290" t="str">
        <f t="shared" si="13"/>
        <v>Monor</v>
      </c>
      <c r="N290" t="str">
        <f t="shared" si="14"/>
        <v>onit</v>
      </c>
    </row>
    <row r="291" spans="1:14" x14ac:dyDescent="0.3">
      <c r="A291" s="8">
        <v>1290</v>
      </c>
      <c r="B291" s="8" t="s">
        <v>26</v>
      </c>
      <c r="C291" s="8" t="s">
        <v>22</v>
      </c>
      <c r="D291" s="8" t="s">
        <v>34</v>
      </c>
      <c r="E291" s="8" t="s">
        <v>35</v>
      </c>
      <c r="F291" s="8">
        <v>3</v>
      </c>
      <c r="G291" s="8">
        <v>69793</v>
      </c>
      <c r="H291" s="8">
        <v>15</v>
      </c>
      <c r="I291" s="9">
        <v>46110</v>
      </c>
      <c r="J291" s="9">
        <v>46111</v>
      </c>
      <c r="K291" s="8" t="s">
        <v>29</v>
      </c>
      <c r="L291" t="str">
        <f t="shared" si="12"/>
        <v>Vik1290</v>
      </c>
      <c r="M291" t="str">
        <f t="shared" si="13"/>
        <v>Prier</v>
      </c>
      <c r="N291" t="str">
        <f t="shared" si="14"/>
        <v>rint</v>
      </c>
    </row>
    <row r="292" spans="1:14" x14ac:dyDescent="0.3">
      <c r="A292" s="8">
        <v>1291</v>
      </c>
      <c r="B292" s="8" t="s">
        <v>21</v>
      </c>
      <c r="C292" s="8" t="s">
        <v>17</v>
      </c>
      <c r="D292" s="8" t="s">
        <v>13</v>
      </c>
      <c r="E292" s="8" t="s">
        <v>36</v>
      </c>
      <c r="F292" s="8">
        <v>17</v>
      </c>
      <c r="G292" s="8">
        <v>415</v>
      </c>
      <c r="H292" s="8">
        <v>5</v>
      </c>
      <c r="I292" s="9">
        <v>46137</v>
      </c>
      <c r="J292" s="9">
        <v>46141</v>
      </c>
      <c r="K292" s="8" t="s">
        <v>20</v>
      </c>
      <c r="L292" t="str">
        <f t="shared" si="12"/>
        <v>Mee1291</v>
      </c>
      <c r="M292" t="str">
        <f t="shared" si="13"/>
        <v>Staer</v>
      </c>
      <c r="N292" t="str">
        <f t="shared" si="14"/>
        <v>tapl</v>
      </c>
    </row>
    <row r="293" spans="1:14" x14ac:dyDescent="0.3">
      <c r="A293" s="8">
        <v>1292</v>
      </c>
      <c r="B293" s="8" t="s">
        <v>54</v>
      </c>
      <c r="C293" s="8" t="s">
        <v>33</v>
      </c>
      <c r="D293" s="8" t="s">
        <v>34</v>
      </c>
      <c r="E293" s="8" t="s">
        <v>61</v>
      </c>
      <c r="F293" s="8">
        <v>11</v>
      </c>
      <c r="G293" s="8">
        <v>25158</v>
      </c>
      <c r="H293" s="8">
        <v>5</v>
      </c>
      <c r="I293" s="9">
        <v>46186</v>
      </c>
      <c r="J293" s="9">
        <v>46193</v>
      </c>
      <c r="K293" s="8" t="s">
        <v>20</v>
      </c>
      <c r="L293" t="str">
        <f t="shared" si="12"/>
        <v>Man1292</v>
      </c>
      <c r="M293" t="str">
        <f t="shared" si="13"/>
        <v>Mouse</v>
      </c>
      <c r="N293" t="str">
        <f t="shared" si="14"/>
        <v>ouse</v>
      </c>
    </row>
    <row r="294" spans="1:14" x14ac:dyDescent="0.3">
      <c r="A294" s="8">
        <v>1293</v>
      </c>
      <c r="B294" s="8" t="s">
        <v>49</v>
      </c>
      <c r="C294" s="8" t="s">
        <v>43</v>
      </c>
      <c r="D294" s="8" t="s">
        <v>18</v>
      </c>
      <c r="E294" s="8" t="s">
        <v>23</v>
      </c>
      <c r="F294" s="8">
        <v>7</v>
      </c>
      <c r="G294" s="8">
        <v>11481</v>
      </c>
      <c r="H294" s="8">
        <v>15</v>
      </c>
      <c r="I294" s="9">
        <v>46045</v>
      </c>
      <c r="J294" s="9">
        <v>46050</v>
      </c>
      <c r="K294" s="8" t="s">
        <v>20</v>
      </c>
      <c r="L294" t="str">
        <f t="shared" si="12"/>
        <v>Aja1293</v>
      </c>
      <c r="M294" t="str">
        <f t="shared" si="13"/>
        <v>Table</v>
      </c>
      <c r="N294" t="str">
        <f t="shared" si="14"/>
        <v>able</v>
      </c>
    </row>
    <row r="295" spans="1:14" x14ac:dyDescent="0.3">
      <c r="A295" s="8">
        <v>1294</v>
      </c>
      <c r="B295" s="8" t="s">
        <v>21</v>
      </c>
      <c r="C295" s="8" t="s">
        <v>12</v>
      </c>
      <c r="D295" s="8" t="s">
        <v>18</v>
      </c>
      <c r="E295" s="8" t="s">
        <v>19</v>
      </c>
      <c r="F295" s="8">
        <v>8</v>
      </c>
      <c r="G295" s="8">
        <v>14448</v>
      </c>
      <c r="H295" s="8">
        <v>10</v>
      </c>
      <c r="I295" s="9">
        <v>46181</v>
      </c>
      <c r="J295" s="9">
        <v>46189</v>
      </c>
      <c r="K295" s="8" t="s">
        <v>15</v>
      </c>
      <c r="L295" t="str">
        <f t="shared" si="12"/>
        <v>Mee1294</v>
      </c>
      <c r="M295" t="str">
        <f t="shared" si="13"/>
        <v>Dessk</v>
      </c>
      <c r="N295" t="str">
        <f t="shared" si="14"/>
        <v>esk</v>
      </c>
    </row>
    <row r="296" spans="1:14" x14ac:dyDescent="0.3">
      <c r="A296" s="8">
        <v>1295</v>
      </c>
      <c r="B296" s="8" t="s">
        <v>52</v>
      </c>
      <c r="C296" s="8" t="s">
        <v>38</v>
      </c>
      <c r="D296" s="8" t="s">
        <v>18</v>
      </c>
      <c r="E296" s="8" t="s">
        <v>28</v>
      </c>
      <c r="F296" s="8">
        <v>16</v>
      </c>
      <c r="G296" s="8">
        <v>11935</v>
      </c>
      <c r="H296" s="8">
        <v>12</v>
      </c>
      <c r="I296" s="9">
        <v>46157</v>
      </c>
      <c r="J296" s="9">
        <v>46162</v>
      </c>
      <c r="K296" s="8" t="s">
        <v>15</v>
      </c>
      <c r="L296" t="str">
        <f t="shared" si="12"/>
        <v>Kom1295</v>
      </c>
      <c r="M296" t="str">
        <f t="shared" si="13"/>
        <v>Chair</v>
      </c>
      <c r="N296" t="str">
        <f t="shared" si="14"/>
        <v>hair</v>
      </c>
    </row>
    <row r="297" spans="1:14" x14ac:dyDescent="0.3">
      <c r="A297" s="8">
        <v>1296</v>
      </c>
      <c r="B297" s="8" t="s">
        <v>26</v>
      </c>
      <c r="C297" s="8" t="s">
        <v>38</v>
      </c>
      <c r="D297" s="8" t="s">
        <v>13</v>
      </c>
      <c r="E297" s="8" t="s">
        <v>50</v>
      </c>
      <c r="F297" s="8">
        <v>6</v>
      </c>
      <c r="G297" s="8">
        <v>201</v>
      </c>
      <c r="H297" s="8">
        <v>0</v>
      </c>
      <c r="I297" s="9">
        <v>46063</v>
      </c>
      <c r="J297" s="9">
        <v>46072</v>
      </c>
      <c r="K297" s="8" t="s">
        <v>51</v>
      </c>
      <c r="L297" t="str">
        <f t="shared" si="12"/>
        <v>Vik1296</v>
      </c>
      <c r="M297" t="str">
        <f t="shared" si="13"/>
        <v>Marer</v>
      </c>
      <c r="N297" t="str">
        <f t="shared" si="14"/>
        <v>arke</v>
      </c>
    </row>
    <row r="298" spans="1:14" x14ac:dyDescent="0.3">
      <c r="A298" s="8">
        <v>1297</v>
      </c>
      <c r="B298" s="8" t="s">
        <v>54</v>
      </c>
      <c r="C298" s="8" t="s">
        <v>25</v>
      </c>
      <c r="D298" s="8" t="s">
        <v>34</v>
      </c>
      <c r="E298" s="8" t="s">
        <v>35</v>
      </c>
      <c r="F298" s="8">
        <v>14</v>
      </c>
      <c r="G298" s="8">
        <v>24524</v>
      </c>
      <c r="H298" s="8">
        <v>10</v>
      </c>
      <c r="I298" s="9">
        <v>46178</v>
      </c>
      <c r="J298" s="9">
        <v>46187</v>
      </c>
      <c r="K298" s="8" t="s">
        <v>29</v>
      </c>
      <c r="L298" t="str">
        <f t="shared" si="12"/>
        <v>Man1297</v>
      </c>
      <c r="M298" t="str">
        <f t="shared" si="13"/>
        <v>Prier</v>
      </c>
      <c r="N298" t="str">
        <f t="shared" si="14"/>
        <v>rint</v>
      </c>
    </row>
    <row r="299" spans="1:14" x14ac:dyDescent="0.3">
      <c r="A299" s="8">
        <v>1298</v>
      </c>
      <c r="B299" s="8" t="s">
        <v>21</v>
      </c>
      <c r="C299" s="8" t="s">
        <v>12</v>
      </c>
      <c r="D299" s="8" t="s">
        <v>34</v>
      </c>
      <c r="E299" s="8" t="s">
        <v>61</v>
      </c>
      <c r="F299" s="8">
        <v>19</v>
      </c>
      <c r="G299" s="8">
        <v>20745</v>
      </c>
      <c r="H299" s="8">
        <v>2</v>
      </c>
      <c r="I299" s="9">
        <v>46083</v>
      </c>
      <c r="J299" s="9">
        <v>46093</v>
      </c>
      <c r="K299" s="8" t="s">
        <v>24</v>
      </c>
      <c r="L299" t="str">
        <f t="shared" si="12"/>
        <v>Mee1298</v>
      </c>
      <c r="M299" t="str">
        <f t="shared" si="13"/>
        <v>Mouse</v>
      </c>
      <c r="N299" t="str">
        <f t="shared" si="14"/>
        <v>ouse</v>
      </c>
    </row>
    <row r="300" spans="1:14" x14ac:dyDescent="0.3">
      <c r="A300" s="8">
        <v>1299</v>
      </c>
      <c r="B300" s="8" t="s">
        <v>26</v>
      </c>
      <c r="C300" s="8" t="s">
        <v>17</v>
      </c>
      <c r="D300" s="8" t="s">
        <v>18</v>
      </c>
      <c r="E300" s="8" t="s">
        <v>56</v>
      </c>
      <c r="F300" s="8">
        <v>8</v>
      </c>
      <c r="G300" s="8">
        <v>8783</v>
      </c>
      <c r="H300" s="8">
        <v>2</v>
      </c>
      <c r="I300" s="9">
        <v>46123</v>
      </c>
      <c r="J300" s="9">
        <v>46132</v>
      </c>
      <c r="K300" s="8" t="s">
        <v>15</v>
      </c>
      <c r="L300" t="str">
        <f t="shared" si="12"/>
        <v>Vik1299</v>
      </c>
      <c r="M300" t="str">
        <f t="shared" si="13"/>
        <v>Cabet</v>
      </c>
      <c r="N300" t="str">
        <f t="shared" si="14"/>
        <v>abin</v>
      </c>
    </row>
    <row r="301" spans="1:14" x14ac:dyDescent="0.3">
      <c r="A301" s="8">
        <v>1300</v>
      </c>
      <c r="B301" s="8" t="s">
        <v>47</v>
      </c>
      <c r="C301" s="8" t="s">
        <v>33</v>
      </c>
      <c r="D301" s="8" t="s">
        <v>34</v>
      </c>
      <c r="E301" s="8" t="s">
        <v>45</v>
      </c>
      <c r="F301" s="8">
        <v>20</v>
      </c>
      <c r="G301" s="8">
        <v>1392</v>
      </c>
      <c r="H301" s="8">
        <v>2</v>
      </c>
      <c r="I301" s="9">
        <v>46110</v>
      </c>
      <c r="J301" s="9">
        <v>46117</v>
      </c>
      <c r="K301" s="8" t="s">
        <v>24</v>
      </c>
      <c r="L301" t="str">
        <f t="shared" si="12"/>
        <v>Yas1300</v>
      </c>
      <c r="M301" t="str">
        <f t="shared" si="13"/>
        <v>Monor</v>
      </c>
      <c r="N301" t="str">
        <f t="shared" si="14"/>
        <v>onit</v>
      </c>
    </row>
    <row r="302" spans="1:14" x14ac:dyDescent="0.3">
      <c r="A302" s="8">
        <v>1301</v>
      </c>
      <c r="B302" s="8" t="s">
        <v>54</v>
      </c>
      <c r="C302" s="8" t="s">
        <v>17</v>
      </c>
      <c r="D302" s="8" t="s">
        <v>18</v>
      </c>
      <c r="E302" s="8" t="s">
        <v>28</v>
      </c>
      <c r="F302" s="8">
        <v>3</v>
      </c>
      <c r="G302" s="8">
        <v>7020</v>
      </c>
      <c r="H302" s="8">
        <v>10</v>
      </c>
      <c r="I302" s="9">
        <v>46028</v>
      </c>
      <c r="J302" s="9">
        <v>46038</v>
      </c>
      <c r="K302" s="8" t="s">
        <v>24</v>
      </c>
      <c r="L302" t="str">
        <f t="shared" si="12"/>
        <v>Man1301</v>
      </c>
      <c r="M302" t="str">
        <f t="shared" si="13"/>
        <v>Chair</v>
      </c>
      <c r="N302" t="str">
        <f t="shared" si="14"/>
        <v>hair</v>
      </c>
    </row>
    <row r="303" spans="1:14" x14ac:dyDescent="0.3">
      <c r="A303" s="8">
        <v>1302</v>
      </c>
      <c r="B303" s="8" t="s">
        <v>57</v>
      </c>
      <c r="C303" s="8" t="s">
        <v>12</v>
      </c>
      <c r="D303" s="8" t="s">
        <v>34</v>
      </c>
      <c r="E303" s="8" t="s">
        <v>35</v>
      </c>
      <c r="F303" s="8">
        <v>9</v>
      </c>
      <c r="G303" s="8">
        <v>8500</v>
      </c>
      <c r="H303" s="8">
        <v>15</v>
      </c>
      <c r="I303" s="9">
        <v>46163</v>
      </c>
      <c r="J303" s="9">
        <v>46172</v>
      </c>
      <c r="K303" s="8" t="s">
        <v>24</v>
      </c>
      <c r="L303" t="str">
        <f t="shared" si="12"/>
        <v>Sar1302</v>
      </c>
      <c r="M303" t="str">
        <f t="shared" si="13"/>
        <v>Prier</v>
      </c>
      <c r="N303" t="str">
        <f t="shared" si="14"/>
        <v>rint</v>
      </c>
    </row>
    <row r="304" spans="1:14" x14ac:dyDescent="0.3">
      <c r="A304" s="8">
        <v>1303</v>
      </c>
      <c r="B304" s="8" t="s">
        <v>57</v>
      </c>
      <c r="C304" s="8" t="s">
        <v>38</v>
      </c>
      <c r="D304" s="8" t="s">
        <v>34</v>
      </c>
      <c r="E304" s="8" t="s">
        <v>35</v>
      </c>
      <c r="F304" s="8">
        <v>13</v>
      </c>
      <c r="G304" s="8">
        <v>5170</v>
      </c>
      <c r="H304" s="8">
        <v>2</v>
      </c>
      <c r="I304" s="9">
        <v>46124</v>
      </c>
      <c r="J304" s="9">
        <v>46127</v>
      </c>
      <c r="K304" s="8" t="s">
        <v>15</v>
      </c>
      <c r="L304" t="str">
        <f t="shared" si="12"/>
        <v>Sar1303</v>
      </c>
      <c r="M304" t="str">
        <f t="shared" si="13"/>
        <v>Prier</v>
      </c>
      <c r="N304" t="str">
        <f t="shared" si="14"/>
        <v>rint</v>
      </c>
    </row>
    <row r="305" spans="1:14" x14ac:dyDescent="0.3">
      <c r="A305" s="8">
        <v>1304</v>
      </c>
      <c r="B305" s="8" t="s">
        <v>59</v>
      </c>
      <c r="C305" s="8" t="s">
        <v>25</v>
      </c>
      <c r="D305" s="8" t="s">
        <v>13</v>
      </c>
      <c r="E305" s="8" t="s">
        <v>36</v>
      </c>
      <c r="F305" s="8">
        <v>20</v>
      </c>
      <c r="G305" s="8">
        <v>368</v>
      </c>
      <c r="H305" s="8">
        <v>7</v>
      </c>
      <c r="I305" s="9">
        <v>46042</v>
      </c>
      <c r="J305" s="9">
        <v>46051</v>
      </c>
      <c r="K305" s="8" t="s">
        <v>51</v>
      </c>
      <c r="L305" t="str">
        <f t="shared" si="12"/>
        <v>Ani1304</v>
      </c>
      <c r="M305" t="str">
        <f t="shared" si="13"/>
        <v>Staer</v>
      </c>
      <c r="N305" t="str">
        <f t="shared" si="14"/>
        <v>tapl</v>
      </c>
    </row>
    <row r="306" spans="1:14" x14ac:dyDescent="0.3">
      <c r="A306" s="8">
        <v>1305</v>
      </c>
      <c r="B306" s="8" t="s">
        <v>58</v>
      </c>
      <c r="C306" s="8" t="s">
        <v>31</v>
      </c>
      <c r="D306" s="8" t="s">
        <v>34</v>
      </c>
      <c r="E306" s="8" t="s">
        <v>60</v>
      </c>
      <c r="F306" s="8">
        <v>20</v>
      </c>
      <c r="G306" s="8">
        <v>31406</v>
      </c>
      <c r="H306" s="8">
        <v>15</v>
      </c>
      <c r="I306" s="9">
        <v>46146</v>
      </c>
      <c r="J306" s="9">
        <v>46154</v>
      </c>
      <c r="K306" s="8" t="s">
        <v>51</v>
      </c>
      <c r="L306" t="str">
        <f t="shared" si="12"/>
        <v>Roh1305</v>
      </c>
      <c r="M306" t="str">
        <f t="shared" si="13"/>
        <v>Lapop</v>
      </c>
      <c r="N306" t="str">
        <f t="shared" si="14"/>
        <v>apto</v>
      </c>
    </row>
    <row r="307" spans="1:14" x14ac:dyDescent="0.3">
      <c r="A307" s="8">
        <v>1306</v>
      </c>
      <c r="B307" s="8" t="s">
        <v>54</v>
      </c>
      <c r="C307" s="8" t="s">
        <v>43</v>
      </c>
      <c r="D307" s="8" t="s">
        <v>13</v>
      </c>
      <c r="E307" s="8" t="s">
        <v>36</v>
      </c>
      <c r="F307" s="8">
        <v>1</v>
      </c>
      <c r="G307" s="8">
        <v>332</v>
      </c>
      <c r="H307" s="8">
        <v>0</v>
      </c>
      <c r="I307" s="9">
        <v>46191</v>
      </c>
      <c r="J307" s="9">
        <v>46194</v>
      </c>
      <c r="K307" s="8" t="s">
        <v>20</v>
      </c>
      <c r="L307" t="str">
        <f t="shared" si="12"/>
        <v>Man1306</v>
      </c>
      <c r="M307" t="str">
        <f t="shared" si="13"/>
        <v>Staer</v>
      </c>
      <c r="N307" t="str">
        <f t="shared" si="14"/>
        <v>tapl</v>
      </c>
    </row>
    <row r="308" spans="1:14" x14ac:dyDescent="0.3">
      <c r="A308" s="8">
        <v>1307</v>
      </c>
      <c r="B308" s="8" t="s">
        <v>57</v>
      </c>
      <c r="C308" s="8" t="s">
        <v>43</v>
      </c>
      <c r="D308" s="8" t="s">
        <v>34</v>
      </c>
      <c r="E308" s="8" t="s">
        <v>35</v>
      </c>
      <c r="F308" s="8">
        <v>18</v>
      </c>
      <c r="G308" s="8">
        <v>7541</v>
      </c>
      <c r="H308" s="8">
        <v>12</v>
      </c>
      <c r="I308" s="9">
        <v>46048</v>
      </c>
      <c r="J308" s="9">
        <v>46051</v>
      </c>
      <c r="K308" s="8" t="s">
        <v>51</v>
      </c>
      <c r="L308" t="str">
        <f t="shared" si="12"/>
        <v>Sar1307</v>
      </c>
      <c r="M308" t="str">
        <f t="shared" si="13"/>
        <v>Prier</v>
      </c>
      <c r="N308" t="str">
        <f t="shared" si="14"/>
        <v>rint</v>
      </c>
    </row>
    <row r="309" spans="1:14" x14ac:dyDescent="0.3">
      <c r="A309" s="8">
        <v>1308</v>
      </c>
      <c r="B309" s="8" t="s">
        <v>30</v>
      </c>
      <c r="C309" s="8" t="s">
        <v>22</v>
      </c>
      <c r="D309" s="8" t="s">
        <v>34</v>
      </c>
      <c r="E309" s="8" t="s">
        <v>41</v>
      </c>
      <c r="F309" s="8">
        <v>12</v>
      </c>
      <c r="G309" s="8">
        <v>66075</v>
      </c>
      <c r="H309" s="8">
        <v>5</v>
      </c>
      <c r="I309" s="9">
        <v>46129</v>
      </c>
      <c r="J309" s="9">
        <v>46135</v>
      </c>
      <c r="K309" s="8" t="s">
        <v>20</v>
      </c>
      <c r="L309" t="str">
        <f t="shared" si="12"/>
        <v>Neh1308</v>
      </c>
      <c r="M309" t="str">
        <f t="shared" si="13"/>
        <v>Heaet</v>
      </c>
      <c r="N309" t="str">
        <f t="shared" si="14"/>
        <v>eads</v>
      </c>
    </row>
    <row r="310" spans="1:14" x14ac:dyDescent="0.3">
      <c r="A310" s="8">
        <v>1309</v>
      </c>
      <c r="B310" s="8" t="s">
        <v>29</v>
      </c>
      <c r="C310" s="8" t="s">
        <v>31</v>
      </c>
      <c r="D310" s="8" t="s">
        <v>13</v>
      </c>
      <c r="E310" s="8" t="s">
        <v>50</v>
      </c>
      <c r="F310" s="8">
        <v>2</v>
      </c>
      <c r="G310" s="8">
        <v>35</v>
      </c>
      <c r="H310" s="8">
        <v>5</v>
      </c>
      <c r="I310" s="9">
        <v>46197</v>
      </c>
      <c r="J310" s="9">
        <v>46198</v>
      </c>
      <c r="K310" s="8" t="s">
        <v>24</v>
      </c>
      <c r="L310" t="str">
        <f t="shared" si="12"/>
        <v>Pri1309</v>
      </c>
      <c r="M310" t="str">
        <f t="shared" si="13"/>
        <v>Marer</v>
      </c>
      <c r="N310" t="str">
        <f t="shared" si="14"/>
        <v>arke</v>
      </c>
    </row>
    <row r="311" spans="1:14" x14ac:dyDescent="0.3">
      <c r="A311" s="8">
        <v>1310</v>
      </c>
      <c r="B311" s="8" t="s">
        <v>49</v>
      </c>
      <c r="C311" s="8" t="s">
        <v>17</v>
      </c>
      <c r="D311" s="8" t="s">
        <v>18</v>
      </c>
      <c r="E311" s="8" t="s">
        <v>56</v>
      </c>
      <c r="F311" s="8">
        <v>19</v>
      </c>
      <c r="G311" s="8">
        <v>12691</v>
      </c>
      <c r="H311" s="8">
        <v>0</v>
      </c>
      <c r="I311" s="9">
        <v>46181</v>
      </c>
      <c r="J311" s="9">
        <v>46189</v>
      </c>
      <c r="K311" s="8" t="s">
        <v>29</v>
      </c>
      <c r="L311" t="str">
        <f t="shared" si="12"/>
        <v>Aja1310</v>
      </c>
      <c r="M311" t="str">
        <f t="shared" si="13"/>
        <v>Cabet</v>
      </c>
      <c r="N311" t="str">
        <f t="shared" si="14"/>
        <v>abin</v>
      </c>
    </row>
    <row r="312" spans="1:14" x14ac:dyDescent="0.3">
      <c r="A312" s="8">
        <v>1311</v>
      </c>
      <c r="B312" s="8" t="s">
        <v>55</v>
      </c>
      <c r="C312" s="8" t="s">
        <v>12</v>
      </c>
      <c r="D312" s="8" t="s">
        <v>13</v>
      </c>
      <c r="E312" s="8" t="s">
        <v>14</v>
      </c>
      <c r="F312" s="8">
        <v>2</v>
      </c>
      <c r="G312" s="8">
        <v>209</v>
      </c>
      <c r="H312" s="8">
        <v>0</v>
      </c>
      <c r="I312" s="9">
        <v>46173</v>
      </c>
      <c r="J312" s="9">
        <v>46176</v>
      </c>
      <c r="K312" s="8" t="s">
        <v>20</v>
      </c>
      <c r="L312" t="str">
        <f t="shared" si="12"/>
        <v>Sne1311</v>
      </c>
      <c r="M312" t="str">
        <f t="shared" si="13"/>
        <v>Notok</v>
      </c>
      <c r="N312" t="str">
        <f t="shared" si="14"/>
        <v>oteb</v>
      </c>
    </row>
    <row r="313" spans="1:14" x14ac:dyDescent="0.3">
      <c r="A313" s="8">
        <v>1312</v>
      </c>
      <c r="B313" s="8" t="s">
        <v>57</v>
      </c>
      <c r="C313" s="8" t="s">
        <v>22</v>
      </c>
      <c r="D313" s="8" t="s">
        <v>18</v>
      </c>
      <c r="E313" s="8" t="s">
        <v>56</v>
      </c>
      <c r="F313" s="8">
        <v>20</v>
      </c>
      <c r="G313" s="8">
        <v>3274</v>
      </c>
      <c r="H313" s="8">
        <v>2</v>
      </c>
      <c r="I313" s="9">
        <v>46148</v>
      </c>
      <c r="J313" s="9">
        <v>46156</v>
      </c>
      <c r="K313" s="8" t="s">
        <v>24</v>
      </c>
      <c r="L313" t="str">
        <f t="shared" si="12"/>
        <v>Sar1312</v>
      </c>
      <c r="M313" t="str">
        <f t="shared" si="13"/>
        <v>Cabet</v>
      </c>
      <c r="N313" t="str">
        <f t="shared" si="14"/>
        <v>abin</v>
      </c>
    </row>
    <row r="314" spans="1:14" x14ac:dyDescent="0.3">
      <c r="A314" s="8">
        <v>1313</v>
      </c>
      <c r="B314" s="8" t="s">
        <v>59</v>
      </c>
      <c r="C314" s="8" t="s">
        <v>22</v>
      </c>
      <c r="D314" s="8" t="s">
        <v>18</v>
      </c>
      <c r="E314" s="8" t="s">
        <v>56</v>
      </c>
      <c r="F314" s="8">
        <v>6</v>
      </c>
      <c r="G314" s="8">
        <v>10864</v>
      </c>
      <c r="H314" s="8">
        <v>10</v>
      </c>
      <c r="I314" s="9">
        <v>46041</v>
      </c>
      <c r="J314" s="9">
        <v>46049</v>
      </c>
      <c r="K314" s="8" t="s">
        <v>15</v>
      </c>
      <c r="L314" t="str">
        <f t="shared" si="12"/>
        <v>Ani1313</v>
      </c>
      <c r="M314" t="str">
        <f t="shared" si="13"/>
        <v>Cabet</v>
      </c>
      <c r="N314" t="str">
        <f t="shared" si="14"/>
        <v>abin</v>
      </c>
    </row>
    <row r="315" spans="1:14" x14ac:dyDescent="0.3">
      <c r="A315" s="8">
        <v>1314</v>
      </c>
      <c r="B315" s="8" t="s">
        <v>52</v>
      </c>
      <c r="C315" s="8" t="s">
        <v>33</v>
      </c>
      <c r="D315" s="8" t="s">
        <v>18</v>
      </c>
      <c r="E315" s="8" t="s">
        <v>19</v>
      </c>
      <c r="F315" s="8">
        <v>10</v>
      </c>
      <c r="G315" s="8">
        <v>6328</v>
      </c>
      <c r="H315" s="8">
        <v>2</v>
      </c>
      <c r="I315" s="9">
        <v>46196</v>
      </c>
      <c r="J315" s="9">
        <v>46197</v>
      </c>
      <c r="K315" s="8" t="s">
        <v>29</v>
      </c>
      <c r="L315" t="str">
        <f t="shared" si="12"/>
        <v>Kom1314</v>
      </c>
      <c r="M315" t="str">
        <f t="shared" si="13"/>
        <v>Dessk</v>
      </c>
      <c r="N315" t="str">
        <f t="shared" si="14"/>
        <v>esk</v>
      </c>
    </row>
    <row r="316" spans="1:14" x14ac:dyDescent="0.3">
      <c r="A316" s="8">
        <v>1315</v>
      </c>
      <c r="B316" s="8" t="s">
        <v>49</v>
      </c>
      <c r="C316" s="8" t="s">
        <v>31</v>
      </c>
      <c r="D316" s="8" t="s">
        <v>34</v>
      </c>
      <c r="E316" s="8" t="s">
        <v>41</v>
      </c>
      <c r="F316" s="8">
        <v>14</v>
      </c>
      <c r="G316" s="8">
        <v>57670</v>
      </c>
      <c r="H316" s="8">
        <v>2</v>
      </c>
      <c r="I316" s="9">
        <v>46186</v>
      </c>
      <c r="J316" s="9">
        <v>46196</v>
      </c>
      <c r="K316" s="8" t="s">
        <v>15</v>
      </c>
      <c r="L316" t="str">
        <f t="shared" si="12"/>
        <v>Aja1315</v>
      </c>
      <c r="M316" t="str">
        <f t="shared" si="13"/>
        <v>Heaet</v>
      </c>
      <c r="N316" t="str">
        <f t="shared" si="14"/>
        <v>eads</v>
      </c>
    </row>
    <row r="317" spans="1:14" x14ac:dyDescent="0.3">
      <c r="A317" s="8">
        <v>1316</v>
      </c>
      <c r="B317" s="8" t="s">
        <v>46</v>
      </c>
      <c r="C317" s="8" t="s">
        <v>12</v>
      </c>
      <c r="D317" s="8" t="s">
        <v>18</v>
      </c>
      <c r="E317" s="8" t="s">
        <v>28</v>
      </c>
      <c r="F317" s="8">
        <v>7</v>
      </c>
      <c r="G317" s="8">
        <v>9838</v>
      </c>
      <c r="H317" s="8">
        <v>7</v>
      </c>
      <c r="I317" s="9">
        <v>46078</v>
      </c>
      <c r="J317" s="9">
        <v>46085</v>
      </c>
      <c r="K317" s="8" t="s">
        <v>20</v>
      </c>
      <c r="L317" t="str">
        <f t="shared" si="12"/>
        <v>Kir1316</v>
      </c>
      <c r="M317" t="str">
        <f t="shared" si="13"/>
        <v>Chair</v>
      </c>
      <c r="N317" t="str">
        <f t="shared" si="14"/>
        <v>hair</v>
      </c>
    </row>
    <row r="318" spans="1:14" x14ac:dyDescent="0.3">
      <c r="A318" s="8">
        <v>1317</v>
      </c>
      <c r="B318" s="8" t="s">
        <v>59</v>
      </c>
      <c r="C318" s="8" t="s">
        <v>33</v>
      </c>
      <c r="D318" s="8" t="s">
        <v>34</v>
      </c>
      <c r="E318" s="8" t="s">
        <v>41</v>
      </c>
      <c r="F318" s="8">
        <v>7</v>
      </c>
      <c r="G318" s="8">
        <v>67339</v>
      </c>
      <c r="H318" s="8">
        <v>5</v>
      </c>
      <c r="I318" s="9">
        <v>46159</v>
      </c>
      <c r="J318" s="9">
        <v>46169</v>
      </c>
      <c r="K318" s="8" t="s">
        <v>51</v>
      </c>
      <c r="L318" t="str">
        <f t="shared" si="12"/>
        <v>Ani1317</v>
      </c>
      <c r="M318" t="str">
        <f t="shared" si="13"/>
        <v>Heaet</v>
      </c>
      <c r="N318" t="str">
        <f t="shared" si="14"/>
        <v>eads</v>
      </c>
    </row>
    <row r="319" spans="1:14" x14ac:dyDescent="0.3">
      <c r="A319" s="8">
        <v>1318</v>
      </c>
      <c r="B319" s="8" t="s">
        <v>11</v>
      </c>
      <c r="C319" s="8" t="s">
        <v>43</v>
      </c>
      <c r="D319" s="8" t="s">
        <v>13</v>
      </c>
      <c r="E319" s="8" t="s">
        <v>50</v>
      </c>
      <c r="F319" s="8">
        <v>4</v>
      </c>
      <c r="G319" s="8">
        <v>38</v>
      </c>
      <c r="H319" s="8">
        <v>12</v>
      </c>
      <c r="I319" s="9">
        <v>46169</v>
      </c>
      <c r="J319" s="9">
        <v>46175</v>
      </c>
      <c r="K319" s="8" t="s">
        <v>29</v>
      </c>
      <c r="L319" t="str">
        <f t="shared" si="12"/>
        <v>Rit1318</v>
      </c>
      <c r="M319" t="str">
        <f t="shared" si="13"/>
        <v>Marer</v>
      </c>
      <c r="N319" t="str">
        <f t="shared" si="14"/>
        <v>arke</v>
      </c>
    </row>
    <row r="320" spans="1:14" x14ac:dyDescent="0.3">
      <c r="A320" s="8">
        <v>1319</v>
      </c>
      <c r="B320" s="8" t="s">
        <v>21</v>
      </c>
      <c r="C320" s="8" t="s">
        <v>17</v>
      </c>
      <c r="D320" s="8" t="s">
        <v>34</v>
      </c>
      <c r="E320" s="8" t="s">
        <v>61</v>
      </c>
      <c r="F320" s="8">
        <v>17</v>
      </c>
      <c r="G320" s="8">
        <v>58407</v>
      </c>
      <c r="H320" s="8">
        <v>7</v>
      </c>
      <c r="I320" s="9">
        <v>46094</v>
      </c>
      <c r="J320" s="9">
        <v>46102</v>
      </c>
      <c r="K320" s="8" t="s">
        <v>15</v>
      </c>
      <c r="L320" t="str">
        <f t="shared" si="12"/>
        <v>Mee1319</v>
      </c>
      <c r="M320" t="str">
        <f t="shared" si="13"/>
        <v>Mouse</v>
      </c>
      <c r="N320" t="str">
        <f t="shared" si="14"/>
        <v>ouse</v>
      </c>
    </row>
    <row r="321" spans="1:14" x14ac:dyDescent="0.3">
      <c r="A321" s="8">
        <v>1320</v>
      </c>
      <c r="B321" s="8" t="s">
        <v>47</v>
      </c>
      <c r="C321" s="8" t="s">
        <v>38</v>
      </c>
      <c r="D321" s="8" t="s">
        <v>13</v>
      </c>
      <c r="E321" s="8" t="s">
        <v>36</v>
      </c>
      <c r="F321" s="8">
        <v>20</v>
      </c>
      <c r="G321" s="8">
        <v>55</v>
      </c>
      <c r="H321" s="8">
        <v>7</v>
      </c>
      <c r="I321" s="9">
        <v>46183</v>
      </c>
      <c r="J321" s="9">
        <v>46186</v>
      </c>
      <c r="K321" s="8" t="s">
        <v>20</v>
      </c>
      <c r="L321" t="str">
        <f t="shared" si="12"/>
        <v>Yas1320</v>
      </c>
      <c r="M321" t="str">
        <f t="shared" si="13"/>
        <v>Staer</v>
      </c>
      <c r="N321" t="str">
        <f t="shared" si="14"/>
        <v>tapl</v>
      </c>
    </row>
    <row r="322" spans="1:14" x14ac:dyDescent="0.3">
      <c r="A322" s="8">
        <v>1321</v>
      </c>
      <c r="B322" s="8" t="s">
        <v>32</v>
      </c>
      <c r="C322" s="8" t="s">
        <v>22</v>
      </c>
      <c r="D322" s="8" t="s">
        <v>18</v>
      </c>
      <c r="E322" s="8" t="s">
        <v>19</v>
      </c>
      <c r="F322" s="8">
        <v>8</v>
      </c>
      <c r="G322" s="8">
        <v>5619</v>
      </c>
      <c r="H322" s="8">
        <v>7</v>
      </c>
      <c r="I322" s="9">
        <v>46107</v>
      </c>
      <c r="J322" s="9">
        <v>46109</v>
      </c>
      <c r="K322" s="8" t="s">
        <v>51</v>
      </c>
      <c r="L322" t="str">
        <f t="shared" si="12"/>
        <v>Ash1321</v>
      </c>
      <c r="M322" t="str">
        <f t="shared" si="13"/>
        <v>Dessk</v>
      </c>
      <c r="N322" t="str">
        <f t="shared" si="14"/>
        <v>esk</v>
      </c>
    </row>
    <row r="323" spans="1:14" x14ac:dyDescent="0.3">
      <c r="A323" s="8">
        <v>1322</v>
      </c>
      <c r="B323" s="8" t="s">
        <v>27</v>
      </c>
      <c r="C323" s="8" t="s">
        <v>12</v>
      </c>
      <c r="D323" s="8" t="s">
        <v>18</v>
      </c>
      <c r="E323" s="8" t="s">
        <v>23</v>
      </c>
      <c r="F323" s="8">
        <v>14</v>
      </c>
      <c r="G323" s="8">
        <v>9081</v>
      </c>
      <c r="H323" s="8">
        <v>15</v>
      </c>
      <c r="I323" s="9">
        <v>46141</v>
      </c>
      <c r="J323" s="9">
        <v>46146</v>
      </c>
      <c r="K323" s="8" t="s">
        <v>15</v>
      </c>
      <c r="L323" t="str">
        <f t="shared" ref="L323:L386" si="15">LEFT(B323, 3)&amp;A323</f>
        <v>Arj1322</v>
      </c>
      <c r="M323" t="str">
        <f t="shared" ref="M323:M386" si="16">LEFT(E323, 3)&amp; RIGHT(E323, 2)</f>
        <v>Table</v>
      </c>
      <c r="N323" t="str">
        <f t="shared" ref="N323:N386" si="17">MID(E323, 2, 4)</f>
        <v>able</v>
      </c>
    </row>
    <row r="324" spans="1:14" x14ac:dyDescent="0.3">
      <c r="A324" s="8">
        <v>1323</v>
      </c>
      <c r="B324" s="8" t="s">
        <v>57</v>
      </c>
      <c r="C324" s="8" t="s">
        <v>38</v>
      </c>
      <c r="D324" s="8" t="s">
        <v>34</v>
      </c>
      <c r="E324" s="8" t="s">
        <v>61</v>
      </c>
      <c r="F324" s="8">
        <v>2</v>
      </c>
      <c r="G324" s="8">
        <v>32074</v>
      </c>
      <c r="H324" s="8">
        <v>10</v>
      </c>
      <c r="I324" s="9">
        <v>46073</v>
      </c>
      <c r="J324" s="9">
        <v>46078</v>
      </c>
      <c r="K324" s="8" t="s">
        <v>15</v>
      </c>
      <c r="L324" t="str">
        <f t="shared" si="15"/>
        <v>Sar1323</v>
      </c>
      <c r="M324" t="str">
        <f t="shared" si="16"/>
        <v>Mouse</v>
      </c>
      <c r="N324" t="str">
        <f t="shared" si="17"/>
        <v>ouse</v>
      </c>
    </row>
    <row r="325" spans="1:14" x14ac:dyDescent="0.3">
      <c r="A325" s="8">
        <v>1324</v>
      </c>
      <c r="B325" s="8" t="s">
        <v>32</v>
      </c>
      <c r="C325" s="8" t="s">
        <v>22</v>
      </c>
      <c r="D325" s="8" t="s">
        <v>18</v>
      </c>
      <c r="E325" s="8" t="s">
        <v>19</v>
      </c>
      <c r="F325" s="8">
        <v>1</v>
      </c>
      <c r="G325" s="8">
        <v>4286</v>
      </c>
      <c r="H325" s="8">
        <v>15</v>
      </c>
      <c r="I325" s="9">
        <v>46053</v>
      </c>
      <c r="J325" s="9">
        <v>46056</v>
      </c>
      <c r="K325" s="8" t="s">
        <v>20</v>
      </c>
      <c r="L325" t="str">
        <f t="shared" si="15"/>
        <v>Ash1324</v>
      </c>
      <c r="M325" t="str">
        <f t="shared" si="16"/>
        <v>Dessk</v>
      </c>
      <c r="N325" t="str">
        <f t="shared" si="17"/>
        <v>esk</v>
      </c>
    </row>
    <row r="326" spans="1:14" x14ac:dyDescent="0.3">
      <c r="A326" s="8">
        <v>1325</v>
      </c>
      <c r="B326" s="8" t="s">
        <v>48</v>
      </c>
      <c r="C326" s="8" t="s">
        <v>43</v>
      </c>
      <c r="D326" s="8" t="s">
        <v>34</v>
      </c>
      <c r="E326" s="8" t="s">
        <v>39</v>
      </c>
      <c r="F326" s="8">
        <v>9</v>
      </c>
      <c r="G326" s="8">
        <v>58442</v>
      </c>
      <c r="H326" s="8">
        <v>12</v>
      </c>
      <c r="I326" s="9">
        <v>46076</v>
      </c>
      <c r="J326" s="9">
        <v>46085</v>
      </c>
      <c r="K326" s="8" t="s">
        <v>20</v>
      </c>
      <c r="L326" t="str">
        <f t="shared" si="15"/>
        <v>Nit1325</v>
      </c>
      <c r="M326" t="str">
        <f t="shared" si="16"/>
        <v>Keyrd</v>
      </c>
      <c r="N326" t="str">
        <f t="shared" si="17"/>
        <v>eybo</v>
      </c>
    </row>
    <row r="327" spans="1:14" x14ac:dyDescent="0.3">
      <c r="A327" s="8">
        <v>1326</v>
      </c>
      <c r="B327" s="8" t="s">
        <v>26</v>
      </c>
      <c r="C327" s="8" t="s">
        <v>17</v>
      </c>
      <c r="D327" s="8" t="s">
        <v>18</v>
      </c>
      <c r="E327" s="8" t="s">
        <v>44</v>
      </c>
      <c r="F327" s="8">
        <v>18</v>
      </c>
      <c r="G327" s="8">
        <v>1830</v>
      </c>
      <c r="H327" s="8">
        <v>10</v>
      </c>
      <c r="I327" s="9">
        <v>46165</v>
      </c>
      <c r="J327" s="9">
        <v>46172</v>
      </c>
      <c r="K327" s="8" t="s">
        <v>15</v>
      </c>
      <c r="L327" t="str">
        <f t="shared" si="15"/>
        <v>Vik1326</v>
      </c>
      <c r="M327" t="str">
        <f t="shared" si="16"/>
        <v>Boolf</v>
      </c>
      <c r="N327" t="str">
        <f t="shared" si="17"/>
        <v>ooks</v>
      </c>
    </row>
    <row r="328" spans="1:14" x14ac:dyDescent="0.3">
      <c r="A328" s="8">
        <v>1327</v>
      </c>
      <c r="B328" s="8" t="s">
        <v>48</v>
      </c>
      <c r="C328" s="8" t="s">
        <v>12</v>
      </c>
      <c r="D328" s="8" t="s">
        <v>13</v>
      </c>
      <c r="E328" s="8" t="s">
        <v>53</v>
      </c>
      <c r="F328" s="8">
        <v>15</v>
      </c>
      <c r="G328" s="8">
        <v>449</v>
      </c>
      <c r="H328" s="8">
        <v>5</v>
      </c>
      <c r="I328" s="9">
        <v>46152</v>
      </c>
      <c r="J328" s="9">
        <v>46153</v>
      </c>
      <c r="K328" s="8" t="s">
        <v>15</v>
      </c>
      <c r="L328" t="str">
        <f t="shared" si="15"/>
        <v>Nit1327</v>
      </c>
      <c r="M328" t="str">
        <f t="shared" si="16"/>
        <v>Diary</v>
      </c>
      <c r="N328" t="str">
        <f t="shared" si="17"/>
        <v>iary</v>
      </c>
    </row>
    <row r="329" spans="1:14" x14ac:dyDescent="0.3">
      <c r="A329" s="8">
        <v>1328</v>
      </c>
      <c r="B329" s="8" t="s">
        <v>16</v>
      </c>
      <c r="C329" s="8" t="s">
        <v>38</v>
      </c>
      <c r="D329" s="8" t="s">
        <v>13</v>
      </c>
      <c r="E329" s="8" t="s">
        <v>36</v>
      </c>
      <c r="F329" s="8">
        <v>4</v>
      </c>
      <c r="G329" s="8">
        <v>132</v>
      </c>
      <c r="H329" s="8">
        <v>0</v>
      </c>
      <c r="I329" s="9">
        <v>46109</v>
      </c>
      <c r="J329" s="9">
        <v>46114</v>
      </c>
      <c r="K329" s="8" t="s">
        <v>29</v>
      </c>
      <c r="L329" t="str">
        <f t="shared" si="15"/>
        <v>Poo1328</v>
      </c>
      <c r="M329" t="str">
        <f t="shared" si="16"/>
        <v>Staer</v>
      </c>
      <c r="N329" t="str">
        <f t="shared" si="17"/>
        <v>tapl</v>
      </c>
    </row>
    <row r="330" spans="1:14" x14ac:dyDescent="0.3">
      <c r="A330" s="8">
        <v>1329</v>
      </c>
      <c r="B330" s="8" t="s">
        <v>30</v>
      </c>
      <c r="C330" s="8" t="s">
        <v>43</v>
      </c>
      <c r="D330" s="8" t="s">
        <v>13</v>
      </c>
      <c r="E330" s="8" t="s">
        <v>53</v>
      </c>
      <c r="F330" s="8">
        <v>18</v>
      </c>
      <c r="G330" s="8">
        <v>227</v>
      </c>
      <c r="H330" s="8">
        <v>5</v>
      </c>
      <c r="I330" s="9">
        <v>46126</v>
      </c>
      <c r="J330" s="9">
        <v>46136</v>
      </c>
      <c r="K330" s="8" t="s">
        <v>29</v>
      </c>
      <c r="L330" t="str">
        <f t="shared" si="15"/>
        <v>Neh1329</v>
      </c>
      <c r="M330" t="str">
        <f t="shared" si="16"/>
        <v>Diary</v>
      </c>
      <c r="N330" t="str">
        <f t="shared" si="17"/>
        <v>iary</v>
      </c>
    </row>
    <row r="331" spans="1:14" x14ac:dyDescent="0.3">
      <c r="A331" s="8">
        <v>1330</v>
      </c>
      <c r="B331" s="8" t="s">
        <v>49</v>
      </c>
      <c r="C331" s="8" t="s">
        <v>17</v>
      </c>
      <c r="D331" s="8" t="s">
        <v>18</v>
      </c>
      <c r="E331" s="8" t="s">
        <v>19</v>
      </c>
      <c r="F331" s="8">
        <v>13</v>
      </c>
      <c r="G331" s="8">
        <v>12071</v>
      </c>
      <c r="H331" s="8">
        <v>0</v>
      </c>
      <c r="I331" s="9">
        <v>46032</v>
      </c>
      <c r="J331" s="9">
        <v>46036</v>
      </c>
      <c r="K331" s="8" t="s">
        <v>51</v>
      </c>
      <c r="L331" t="str">
        <f t="shared" si="15"/>
        <v>Aja1330</v>
      </c>
      <c r="M331" t="str">
        <f t="shared" si="16"/>
        <v>Dessk</v>
      </c>
      <c r="N331" t="str">
        <f t="shared" si="17"/>
        <v>esk</v>
      </c>
    </row>
    <row r="332" spans="1:14" x14ac:dyDescent="0.3">
      <c r="A332" s="8">
        <v>1331</v>
      </c>
      <c r="B332" s="8" t="s">
        <v>21</v>
      </c>
      <c r="C332" s="8" t="s">
        <v>25</v>
      </c>
      <c r="D332" s="8" t="s">
        <v>34</v>
      </c>
      <c r="E332" s="8" t="s">
        <v>61</v>
      </c>
      <c r="F332" s="8">
        <v>2</v>
      </c>
      <c r="G332" s="8">
        <v>43557</v>
      </c>
      <c r="H332" s="8">
        <v>2</v>
      </c>
      <c r="I332" s="9">
        <v>46190</v>
      </c>
      <c r="J332" s="9">
        <v>46200</v>
      </c>
      <c r="K332" s="8" t="s">
        <v>15</v>
      </c>
      <c r="L332" t="str">
        <f t="shared" si="15"/>
        <v>Mee1331</v>
      </c>
      <c r="M332" t="str">
        <f t="shared" si="16"/>
        <v>Mouse</v>
      </c>
      <c r="N332" t="str">
        <f t="shared" si="17"/>
        <v>ouse</v>
      </c>
    </row>
    <row r="333" spans="1:14" x14ac:dyDescent="0.3">
      <c r="A333" s="8">
        <v>1332</v>
      </c>
      <c r="B333" s="8" t="s">
        <v>29</v>
      </c>
      <c r="C333" s="8" t="s">
        <v>43</v>
      </c>
      <c r="D333" s="8" t="s">
        <v>13</v>
      </c>
      <c r="E333" s="8" t="s">
        <v>50</v>
      </c>
      <c r="F333" s="8">
        <v>7</v>
      </c>
      <c r="G333" s="8">
        <v>439</v>
      </c>
      <c r="H333" s="8">
        <v>2</v>
      </c>
      <c r="I333" s="9">
        <v>46154</v>
      </c>
      <c r="J333" s="9">
        <v>46157</v>
      </c>
      <c r="K333" s="8" t="s">
        <v>15</v>
      </c>
      <c r="L333" t="str">
        <f t="shared" si="15"/>
        <v>Pri1332</v>
      </c>
      <c r="M333" t="str">
        <f t="shared" si="16"/>
        <v>Marer</v>
      </c>
      <c r="N333" t="str">
        <f t="shared" si="17"/>
        <v>arke</v>
      </c>
    </row>
    <row r="334" spans="1:14" x14ac:dyDescent="0.3">
      <c r="A334" s="8">
        <v>1333</v>
      </c>
      <c r="B334" s="8" t="s">
        <v>29</v>
      </c>
      <c r="C334" s="8" t="s">
        <v>38</v>
      </c>
      <c r="D334" s="8" t="s">
        <v>13</v>
      </c>
      <c r="E334" s="8" t="s">
        <v>53</v>
      </c>
      <c r="F334" s="8">
        <v>20</v>
      </c>
      <c r="G334" s="8">
        <v>416</v>
      </c>
      <c r="H334" s="8">
        <v>12</v>
      </c>
      <c r="I334" s="9">
        <v>46145</v>
      </c>
      <c r="J334" s="9">
        <v>46146</v>
      </c>
      <c r="K334" s="8" t="s">
        <v>51</v>
      </c>
      <c r="L334" t="str">
        <f t="shared" si="15"/>
        <v>Pri1333</v>
      </c>
      <c r="M334" t="str">
        <f t="shared" si="16"/>
        <v>Diary</v>
      </c>
      <c r="N334" t="str">
        <f t="shared" si="17"/>
        <v>iary</v>
      </c>
    </row>
    <row r="335" spans="1:14" x14ac:dyDescent="0.3">
      <c r="A335" s="8">
        <v>1334</v>
      </c>
      <c r="B335" s="8" t="s">
        <v>40</v>
      </c>
      <c r="C335" s="8" t="s">
        <v>12</v>
      </c>
      <c r="D335" s="8" t="s">
        <v>34</v>
      </c>
      <c r="E335" s="8" t="s">
        <v>41</v>
      </c>
      <c r="F335" s="8">
        <v>15</v>
      </c>
      <c r="G335" s="8">
        <v>39853</v>
      </c>
      <c r="H335" s="8">
        <v>7</v>
      </c>
      <c r="I335" s="9">
        <v>46038</v>
      </c>
      <c r="J335" s="9">
        <v>46047</v>
      </c>
      <c r="K335" s="8" t="s">
        <v>51</v>
      </c>
      <c r="L335" t="str">
        <f t="shared" si="15"/>
        <v>Dee1334</v>
      </c>
      <c r="M335" t="str">
        <f t="shared" si="16"/>
        <v>Heaet</v>
      </c>
      <c r="N335" t="str">
        <f t="shared" si="17"/>
        <v>eads</v>
      </c>
    </row>
    <row r="336" spans="1:14" x14ac:dyDescent="0.3">
      <c r="A336" s="8">
        <v>1335</v>
      </c>
      <c r="B336" s="8" t="s">
        <v>47</v>
      </c>
      <c r="C336" s="8" t="s">
        <v>17</v>
      </c>
      <c r="D336" s="8" t="s">
        <v>18</v>
      </c>
      <c r="E336" s="8" t="s">
        <v>19</v>
      </c>
      <c r="F336" s="8">
        <v>9</v>
      </c>
      <c r="G336" s="8">
        <v>1495</v>
      </c>
      <c r="H336" s="8">
        <v>12</v>
      </c>
      <c r="I336" s="9">
        <v>46168</v>
      </c>
      <c r="J336" s="9">
        <v>46173</v>
      </c>
      <c r="K336" s="8" t="s">
        <v>15</v>
      </c>
      <c r="L336" t="str">
        <f t="shared" si="15"/>
        <v>Yas1335</v>
      </c>
      <c r="M336" t="str">
        <f t="shared" si="16"/>
        <v>Dessk</v>
      </c>
      <c r="N336" t="str">
        <f t="shared" si="17"/>
        <v>esk</v>
      </c>
    </row>
    <row r="337" spans="1:14" x14ac:dyDescent="0.3">
      <c r="A337" s="8">
        <v>1336</v>
      </c>
      <c r="B337" s="8" t="s">
        <v>16</v>
      </c>
      <c r="C337" s="8" t="s">
        <v>25</v>
      </c>
      <c r="D337" s="8" t="s">
        <v>18</v>
      </c>
      <c r="E337" s="8" t="s">
        <v>56</v>
      </c>
      <c r="F337" s="8">
        <v>10</v>
      </c>
      <c r="G337" s="8">
        <v>5624</v>
      </c>
      <c r="H337" s="8">
        <v>0</v>
      </c>
      <c r="I337" s="9">
        <v>46086</v>
      </c>
      <c r="J337" s="9">
        <v>46092</v>
      </c>
      <c r="K337" s="8" t="s">
        <v>29</v>
      </c>
      <c r="L337" t="str">
        <f t="shared" si="15"/>
        <v>Poo1336</v>
      </c>
      <c r="M337" t="str">
        <f t="shared" si="16"/>
        <v>Cabet</v>
      </c>
      <c r="N337" t="str">
        <f t="shared" si="17"/>
        <v>abin</v>
      </c>
    </row>
    <row r="338" spans="1:14" x14ac:dyDescent="0.3">
      <c r="A338" s="8">
        <v>1337</v>
      </c>
      <c r="B338" s="8" t="s">
        <v>16</v>
      </c>
      <c r="C338" s="8" t="s">
        <v>12</v>
      </c>
      <c r="D338" s="8" t="s">
        <v>13</v>
      </c>
      <c r="E338" s="8" t="s">
        <v>53</v>
      </c>
      <c r="F338" s="8">
        <v>14</v>
      </c>
      <c r="G338" s="8">
        <v>373</v>
      </c>
      <c r="H338" s="8">
        <v>10</v>
      </c>
      <c r="I338" s="9">
        <v>46074</v>
      </c>
      <c r="J338" s="9">
        <v>46080</v>
      </c>
      <c r="K338" s="8" t="s">
        <v>29</v>
      </c>
      <c r="L338" t="str">
        <f t="shared" si="15"/>
        <v>Poo1337</v>
      </c>
      <c r="M338" t="str">
        <f t="shared" si="16"/>
        <v>Diary</v>
      </c>
      <c r="N338" t="str">
        <f t="shared" si="17"/>
        <v>iary</v>
      </c>
    </row>
    <row r="339" spans="1:14" x14ac:dyDescent="0.3">
      <c r="A339" s="8">
        <v>1338</v>
      </c>
      <c r="B339" s="8" t="s">
        <v>59</v>
      </c>
      <c r="C339" s="8" t="s">
        <v>25</v>
      </c>
      <c r="D339" s="8" t="s">
        <v>34</v>
      </c>
      <c r="E339" s="8" t="s">
        <v>60</v>
      </c>
      <c r="F339" s="8">
        <v>10</v>
      </c>
      <c r="G339" s="8">
        <v>16719</v>
      </c>
      <c r="H339" s="8">
        <v>5</v>
      </c>
      <c r="I339" s="9">
        <v>46177</v>
      </c>
      <c r="J339" s="9">
        <v>46179</v>
      </c>
      <c r="K339" s="8" t="s">
        <v>15</v>
      </c>
      <c r="L339" t="str">
        <f t="shared" si="15"/>
        <v>Ani1338</v>
      </c>
      <c r="M339" t="str">
        <f t="shared" si="16"/>
        <v>Lapop</v>
      </c>
      <c r="N339" t="str">
        <f t="shared" si="17"/>
        <v>apto</v>
      </c>
    </row>
    <row r="340" spans="1:14" x14ac:dyDescent="0.3">
      <c r="A340" s="8">
        <v>1339</v>
      </c>
      <c r="B340" s="8" t="s">
        <v>32</v>
      </c>
      <c r="C340" s="8" t="s">
        <v>25</v>
      </c>
      <c r="D340" s="8" t="s">
        <v>13</v>
      </c>
      <c r="E340" s="8" t="s">
        <v>14</v>
      </c>
      <c r="F340" s="8">
        <v>6</v>
      </c>
      <c r="G340" s="8">
        <v>302</v>
      </c>
      <c r="H340" s="8">
        <v>5</v>
      </c>
      <c r="I340" s="9">
        <v>46142</v>
      </c>
      <c r="J340" s="9">
        <v>46148</v>
      </c>
      <c r="K340" s="8" t="s">
        <v>20</v>
      </c>
      <c r="L340" t="str">
        <f t="shared" si="15"/>
        <v>Ash1339</v>
      </c>
      <c r="M340" t="str">
        <f t="shared" si="16"/>
        <v>Notok</v>
      </c>
      <c r="N340" t="str">
        <f t="shared" si="17"/>
        <v>oteb</v>
      </c>
    </row>
    <row r="341" spans="1:14" x14ac:dyDescent="0.3">
      <c r="A341" s="8">
        <v>1340</v>
      </c>
      <c r="B341" s="8" t="s">
        <v>48</v>
      </c>
      <c r="C341" s="8" t="s">
        <v>17</v>
      </c>
      <c r="D341" s="8" t="s">
        <v>18</v>
      </c>
      <c r="E341" s="8" t="s">
        <v>19</v>
      </c>
      <c r="F341" s="8">
        <v>12</v>
      </c>
      <c r="G341" s="8">
        <v>3857</v>
      </c>
      <c r="H341" s="8">
        <v>12</v>
      </c>
      <c r="I341" s="9">
        <v>46196</v>
      </c>
      <c r="J341" s="9">
        <v>46198</v>
      </c>
      <c r="K341" s="8" t="s">
        <v>51</v>
      </c>
      <c r="L341" t="str">
        <f t="shared" si="15"/>
        <v>Nit1340</v>
      </c>
      <c r="M341" t="str">
        <f t="shared" si="16"/>
        <v>Dessk</v>
      </c>
      <c r="N341" t="str">
        <f t="shared" si="17"/>
        <v>esk</v>
      </c>
    </row>
    <row r="342" spans="1:14" x14ac:dyDescent="0.3">
      <c r="A342" s="8">
        <v>1341</v>
      </c>
      <c r="B342" s="8" t="s">
        <v>57</v>
      </c>
      <c r="C342" s="8" t="s">
        <v>38</v>
      </c>
      <c r="D342" s="8" t="s">
        <v>18</v>
      </c>
      <c r="E342" s="8" t="s">
        <v>19</v>
      </c>
      <c r="F342" s="8">
        <v>19</v>
      </c>
      <c r="G342" s="8">
        <v>6488</v>
      </c>
      <c r="H342" s="8">
        <v>15</v>
      </c>
      <c r="I342" s="9">
        <v>46026</v>
      </c>
      <c r="J342" s="9">
        <v>46030</v>
      </c>
      <c r="K342" s="8" t="s">
        <v>20</v>
      </c>
      <c r="L342" t="str">
        <f t="shared" si="15"/>
        <v>Sar1341</v>
      </c>
      <c r="M342" t="str">
        <f t="shared" si="16"/>
        <v>Dessk</v>
      </c>
      <c r="N342" t="str">
        <f t="shared" si="17"/>
        <v>esk</v>
      </c>
    </row>
    <row r="343" spans="1:14" x14ac:dyDescent="0.3">
      <c r="A343" s="8">
        <v>1342</v>
      </c>
      <c r="B343" s="8" t="s">
        <v>59</v>
      </c>
      <c r="C343" s="8" t="s">
        <v>31</v>
      </c>
      <c r="D343" s="8" t="s">
        <v>34</v>
      </c>
      <c r="E343" s="8" t="s">
        <v>35</v>
      </c>
      <c r="F343" s="8">
        <v>13</v>
      </c>
      <c r="G343" s="8">
        <v>47881</v>
      </c>
      <c r="H343" s="8">
        <v>15</v>
      </c>
      <c r="I343" s="9">
        <v>46132</v>
      </c>
      <c r="J343" s="9">
        <v>46139</v>
      </c>
      <c r="K343" s="8" t="s">
        <v>29</v>
      </c>
      <c r="L343" t="str">
        <f t="shared" si="15"/>
        <v>Ani1342</v>
      </c>
      <c r="M343" t="str">
        <f t="shared" si="16"/>
        <v>Prier</v>
      </c>
      <c r="N343" t="str">
        <f t="shared" si="17"/>
        <v>rint</v>
      </c>
    </row>
    <row r="344" spans="1:14" x14ac:dyDescent="0.3">
      <c r="A344" s="8">
        <v>1343</v>
      </c>
      <c r="B344" s="8" t="s">
        <v>59</v>
      </c>
      <c r="C344" s="8" t="s">
        <v>31</v>
      </c>
      <c r="D344" s="8" t="s">
        <v>34</v>
      </c>
      <c r="E344" s="8" t="s">
        <v>39</v>
      </c>
      <c r="F344" s="8">
        <v>14</v>
      </c>
      <c r="G344" s="8">
        <v>32719</v>
      </c>
      <c r="H344" s="8">
        <v>15</v>
      </c>
      <c r="I344" s="9">
        <v>46174</v>
      </c>
      <c r="J344" s="9">
        <v>46179</v>
      </c>
      <c r="K344" s="8" t="s">
        <v>15</v>
      </c>
      <c r="L344" t="str">
        <f t="shared" si="15"/>
        <v>Ani1343</v>
      </c>
      <c r="M344" t="str">
        <f t="shared" si="16"/>
        <v>Keyrd</v>
      </c>
      <c r="N344" t="str">
        <f t="shared" si="17"/>
        <v>eybo</v>
      </c>
    </row>
    <row r="345" spans="1:14" x14ac:dyDescent="0.3">
      <c r="A345" s="8">
        <v>1344</v>
      </c>
      <c r="B345" s="8" t="s">
        <v>30</v>
      </c>
      <c r="C345" s="8" t="s">
        <v>17</v>
      </c>
      <c r="D345" s="8" t="s">
        <v>13</v>
      </c>
      <c r="E345" s="8" t="s">
        <v>53</v>
      </c>
      <c r="F345" s="8">
        <v>18</v>
      </c>
      <c r="G345" s="8">
        <v>240</v>
      </c>
      <c r="H345" s="8">
        <v>10</v>
      </c>
      <c r="I345" s="9">
        <v>46155</v>
      </c>
      <c r="J345" s="9">
        <v>46156</v>
      </c>
      <c r="K345" s="8" t="s">
        <v>24</v>
      </c>
      <c r="L345" t="str">
        <f t="shared" si="15"/>
        <v>Neh1344</v>
      </c>
      <c r="M345" t="str">
        <f t="shared" si="16"/>
        <v>Diary</v>
      </c>
      <c r="N345" t="str">
        <f t="shared" si="17"/>
        <v>iary</v>
      </c>
    </row>
    <row r="346" spans="1:14" x14ac:dyDescent="0.3">
      <c r="A346" s="8">
        <v>1345</v>
      </c>
      <c r="B346" s="8" t="s">
        <v>32</v>
      </c>
      <c r="C346" s="8" t="s">
        <v>12</v>
      </c>
      <c r="D346" s="8" t="s">
        <v>34</v>
      </c>
      <c r="E346" s="8" t="s">
        <v>45</v>
      </c>
      <c r="F346" s="8">
        <v>12</v>
      </c>
      <c r="G346" s="8">
        <v>50544</v>
      </c>
      <c r="H346" s="8">
        <v>10</v>
      </c>
      <c r="I346" s="9">
        <v>46095</v>
      </c>
      <c r="J346" s="9">
        <v>46097</v>
      </c>
      <c r="K346" s="8" t="s">
        <v>29</v>
      </c>
      <c r="L346" t="str">
        <f t="shared" si="15"/>
        <v>Ash1345</v>
      </c>
      <c r="M346" t="str">
        <f t="shared" si="16"/>
        <v>Monor</v>
      </c>
      <c r="N346" t="str">
        <f t="shared" si="17"/>
        <v>onit</v>
      </c>
    </row>
    <row r="347" spans="1:14" x14ac:dyDescent="0.3">
      <c r="A347" s="8">
        <v>1346</v>
      </c>
      <c r="B347" s="8" t="s">
        <v>32</v>
      </c>
      <c r="C347" s="8" t="s">
        <v>22</v>
      </c>
      <c r="D347" s="8" t="s">
        <v>18</v>
      </c>
      <c r="E347" s="8" t="s">
        <v>19</v>
      </c>
      <c r="F347" s="8">
        <v>16</v>
      </c>
      <c r="G347" s="8">
        <v>6910</v>
      </c>
      <c r="H347" s="8">
        <v>15</v>
      </c>
      <c r="I347" s="9">
        <v>46140</v>
      </c>
      <c r="J347" s="9">
        <v>46142</v>
      </c>
      <c r="K347" s="8" t="s">
        <v>29</v>
      </c>
      <c r="L347" t="str">
        <f t="shared" si="15"/>
        <v>Ash1346</v>
      </c>
      <c r="M347" t="str">
        <f t="shared" si="16"/>
        <v>Dessk</v>
      </c>
      <c r="N347" t="str">
        <f t="shared" si="17"/>
        <v>esk</v>
      </c>
    </row>
    <row r="348" spans="1:14" x14ac:dyDescent="0.3">
      <c r="A348" s="8">
        <v>1347</v>
      </c>
      <c r="B348" s="8" t="s">
        <v>29</v>
      </c>
      <c r="C348" s="8" t="s">
        <v>22</v>
      </c>
      <c r="D348" s="8" t="s">
        <v>34</v>
      </c>
      <c r="E348" s="8" t="s">
        <v>35</v>
      </c>
      <c r="F348" s="8">
        <v>16</v>
      </c>
      <c r="G348" s="8">
        <v>6034</v>
      </c>
      <c r="H348" s="8">
        <v>15</v>
      </c>
      <c r="I348" s="9">
        <v>46037</v>
      </c>
      <c r="J348" s="9">
        <v>46044</v>
      </c>
      <c r="K348" s="8" t="s">
        <v>24</v>
      </c>
      <c r="L348" t="str">
        <f t="shared" si="15"/>
        <v>Pri1347</v>
      </c>
      <c r="M348" t="str">
        <f t="shared" si="16"/>
        <v>Prier</v>
      </c>
      <c r="N348" t="str">
        <f t="shared" si="17"/>
        <v>rint</v>
      </c>
    </row>
    <row r="349" spans="1:14" x14ac:dyDescent="0.3">
      <c r="A349" s="8">
        <v>1348</v>
      </c>
      <c r="B349" s="8" t="s">
        <v>11</v>
      </c>
      <c r="C349" s="8" t="s">
        <v>33</v>
      </c>
      <c r="D349" s="8" t="s">
        <v>13</v>
      </c>
      <c r="E349" s="8" t="s">
        <v>50</v>
      </c>
      <c r="F349" s="8">
        <v>12</v>
      </c>
      <c r="G349" s="8">
        <v>244</v>
      </c>
      <c r="H349" s="8">
        <v>7</v>
      </c>
      <c r="I349" s="9">
        <v>46048</v>
      </c>
      <c r="J349" s="9">
        <v>46053</v>
      </c>
      <c r="K349" s="8" t="s">
        <v>15</v>
      </c>
      <c r="L349" t="str">
        <f t="shared" si="15"/>
        <v>Rit1348</v>
      </c>
      <c r="M349" t="str">
        <f t="shared" si="16"/>
        <v>Marer</v>
      </c>
      <c r="N349" t="str">
        <f t="shared" si="17"/>
        <v>arke</v>
      </c>
    </row>
    <row r="350" spans="1:14" x14ac:dyDescent="0.3">
      <c r="A350" s="8">
        <v>1349</v>
      </c>
      <c r="B350" s="8" t="s">
        <v>40</v>
      </c>
      <c r="C350" s="8" t="s">
        <v>33</v>
      </c>
      <c r="D350" s="8" t="s">
        <v>34</v>
      </c>
      <c r="E350" s="8" t="s">
        <v>35</v>
      </c>
      <c r="F350" s="8">
        <v>20</v>
      </c>
      <c r="G350" s="8">
        <v>62721</v>
      </c>
      <c r="H350" s="8">
        <v>7</v>
      </c>
      <c r="I350" s="9">
        <v>46079</v>
      </c>
      <c r="J350" s="9">
        <v>46083</v>
      </c>
      <c r="K350" s="8" t="s">
        <v>20</v>
      </c>
      <c r="L350" t="str">
        <f t="shared" si="15"/>
        <v>Dee1349</v>
      </c>
      <c r="M350" t="str">
        <f t="shared" si="16"/>
        <v>Prier</v>
      </c>
      <c r="N350" t="str">
        <f t="shared" si="17"/>
        <v>rint</v>
      </c>
    </row>
    <row r="351" spans="1:14" x14ac:dyDescent="0.3">
      <c r="A351" s="8">
        <v>1350</v>
      </c>
      <c r="B351" s="8" t="s">
        <v>26</v>
      </c>
      <c r="C351" s="8" t="s">
        <v>43</v>
      </c>
      <c r="D351" s="8" t="s">
        <v>18</v>
      </c>
      <c r="E351" s="8" t="s">
        <v>28</v>
      </c>
      <c r="F351" s="8">
        <v>16</v>
      </c>
      <c r="G351" s="8">
        <v>11790</v>
      </c>
      <c r="H351" s="8">
        <v>12</v>
      </c>
      <c r="I351" s="9">
        <v>46185</v>
      </c>
      <c r="J351" s="9">
        <v>46190</v>
      </c>
      <c r="K351" s="8" t="s">
        <v>29</v>
      </c>
      <c r="L351" t="str">
        <f t="shared" si="15"/>
        <v>Vik1350</v>
      </c>
      <c r="M351" t="str">
        <f t="shared" si="16"/>
        <v>Chair</v>
      </c>
      <c r="N351" t="str">
        <f t="shared" si="17"/>
        <v>hair</v>
      </c>
    </row>
    <row r="352" spans="1:14" x14ac:dyDescent="0.3">
      <c r="A352" s="8">
        <v>1351</v>
      </c>
      <c r="B352" s="8" t="s">
        <v>42</v>
      </c>
      <c r="C352" s="8" t="s">
        <v>33</v>
      </c>
      <c r="D352" s="8" t="s">
        <v>34</v>
      </c>
      <c r="E352" s="8" t="s">
        <v>45</v>
      </c>
      <c r="F352" s="8">
        <v>12</v>
      </c>
      <c r="G352" s="8">
        <v>1272</v>
      </c>
      <c r="H352" s="8">
        <v>0</v>
      </c>
      <c r="I352" s="9">
        <v>46026</v>
      </c>
      <c r="J352" s="9">
        <v>46029</v>
      </c>
      <c r="K352" s="8" t="s">
        <v>15</v>
      </c>
      <c r="L352" t="str">
        <f t="shared" si="15"/>
        <v>Nis1351</v>
      </c>
      <c r="M352" t="str">
        <f t="shared" si="16"/>
        <v>Monor</v>
      </c>
      <c r="N352" t="str">
        <f t="shared" si="17"/>
        <v>onit</v>
      </c>
    </row>
    <row r="353" spans="1:14" x14ac:dyDescent="0.3">
      <c r="A353" s="8">
        <v>1352</v>
      </c>
      <c r="B353" s="8" t="s">
        <v>54</v>
      </c>
      <c r="C353" s="8" t="s">
        <v>22</v>
      </c>
      <c r="D353" s="8" t="s">
        <v>13</v>
      </c>
      <c r="E353" s="8" t="s">
        <v>14</v>
      </c>
      <c r="F353" s="8">
        <v>12</v>
      </c>
      <c r="G353" s="8">
        <v>203</v>
      </c>
      <c r="H353" s="8">
        <v>5</v>
      </c>
      <c r="I353" s="9">
        <v>46024</v>
      </c>
      <c r="J353" s="9">
        <v>46033</v>
      </c>
      <c r="K353" s="8" t="s">
        <v>15</v>
      </c>
      <c r="L353" t="str">
        <f t="shared" si="15"/>
        <v>Man1352</v>
      </c>
      <c r="M353" t="str">
        <f t="shared" si="16"/>
        <v>Notok</v>
      </c>
      <c r="N353" t="str">
        <f t="shared" si="17"/>
        <v>oteb</v>
      </c>
    </row>
    <row r="354" spans="1:14" x14ac:dyDescent="0.3">
      <c r="A354" s="8">
        <v>1353</v>
      </c>
      <c r="B354" s="8" t="s">
        <v>47</v>
      </c>
      <c r="C354" s="8" t="s">
        <v>43</v>
      </c>
      <c r="D354" s="8" t="s">
        <v>13</v>
      </c>
      <c r="E354" s="8" t="s">
        <v>14</v>
      </c>
      <c r="F354" s="8">
        <v>6</v>
      </c>
      <c r="G354" s="8">
        <v>495</v>
      </c>
      <c r="H354" s="8">
        <v>2</v>
      </c>
      <c r="I354" s="9">
        <v>46194</v>
      </c>
      <c r="J354" s="9">
        <v>46200</v>
      </c>
      <c r="K354" s="8" t="s">
        <v>24</v>
      </c>
      <c r="L354" t="str">
        <f t="shared" si="15"/>
        <v>Yas1353</v>
      </c>
      <c r="M354" t="str">
        <f t="shared" si="16"/>
        <v>Notok</v>
      </c>
      <c r="N354" t="str">
        <f t="shared" si="17"/>
        <v>oteb</v>
      </c>
    </row>
    <row r="355" spans="1:14" x14ac:dyDescent="0.3">
      <c r="A355" s="8">
        <v>1354</v>
      </c>
      <c r="B355" s="8" t="s">
        <v>47</v>
      </c>
      <c r="C355" s="8" t="s">
        <v>43</v>
      </c>
      <c r="D355" s="8" t="s">
        <v>34</v>
      </c>
      <c r="E355" s="8" t="s">
        <v>35</v>
      </c>
      <c r="F355" s="8">
        <v>15</v>
      </c>
      <c r="G355" s="8">
        <v>14927</v>
      </c>
      <c r="H355" s="8">
        <v>15</v>
      </c>
      <c r="I355" s="9">
        <v>46118</v>
      </c>
      <c r="J355" s="9">
        <v>46120</v>
      </c>
      <c r="K355" s="8" t="s">
        <v>51</v>
      </c>
      <c r="L355" t="str">
        <f t="shared" si="15"/>
        <v>Yas1354</v>
      </c>
      <c r="M355" t="str">
        <f t="shared" si="16"/>
        <v>Prier</v>
      </c>
      <c r="N355" t="str">
        <f t="shared" si="17"/>
        <v>rint</v>
      </c>
    </row>
    <row r="356" spans="1:14" x14ac:dyDescent="0.3">
      <c r="A356" s="8">
        <v>1355</v>
      </c>
      <c r="B356" s="8" t="s">
        <v>27</v>
      </c>
      <c r="C356" s="8" t="s">
        <v>12</v>
      </c>
      <c r="D356" s="8" t="s">
        <v>34</v>
      </c>
      <c r="E356" s="8" t="s">
        <v>60</v>
      </c>
      <c r="F356" s="8">
        <v>18</v>
      </c>
      <c r="G356" s="8">
        <v>35997</v>
      </c>
      <c r="H356" s="8">
        <v>2</v>
      </c>
      <c r="I356" s="9">
        <v>46024</v>
      </c>
      <c r="J356" s="9">
        <v>46031</v>
      </c>
      <c r="K356" s="8" t="s">
        <v>51</v>
      </c>
      <c r="L356" t="str">
        <f t="shared" si="15"/>
        <v>Arj1355</v>
      </c>
      <c r="M356" t="str">
        <f t="shared" si="16"/>
        <v>Lapop</v>
      </c>
      <c r="N356" t="str">
        <f t="shared" si="17"/>
        <v>apto</v>
      </c>
    </row>
    <row r="357" spans="1:14" x14ac:dyDescent="0.3">
      <c r="A357" s="8">
        <v>1356</v>
      </c>
      <c r="B357" s="8" t="s">
        <v>26</v>
      </c>
      <c r="C357" s="8" t="s">
        <v>38</v>
      </c>
      <c r="D357" s="8" t="s">
        <v>34</v>
      </c>
      <c r="E357" s="8" t="s">
        <v>60</v>
      </c>
      <c r="F357" s="8">
        <v>16</v>
      </c>
      <c r="G357" s="8">
        <v>53457</v>
      </c>
      <c r="H357" s="8">
        <v>10</v>
      </c>
      <c r="I357" s="9">
        <v>46201</v>
      </c>
      <c r="J357" s="9">
        <v>46204</v>
      </c>
      <c r="K357" s="8" t="s">
        <v>15</v>
      </c>
      <c r="L357" t="str">
        <f t="shared" si="15"/>
        <v>Vik1356</v>
      </c>
      <c r="M357" t="str">
        <f t="shared" si="16"/>
        <v>Lapop</v>
      </c>
      <c r="N357" t="str">
        <f t="shared" si="17"/>
        <v>apto</v>
      </c>
    </row>
    <row r="358" spans="1:14" x14ac:dyDescent="0.3">
      <c r="A358" s="8">
        <v>1357</v>
      </c>
      <c r="B358" s="8" t="s">
        <v>59</v>
      </c>
      <c r="C358" s="8" t="s">
        <v>25</v>
      </c>
      <c r="D358" s="8" t="s">
        <v>13</v>
      </c>
      <c r="E358" s="8" t="s">
        <v>37</v>
      </c>
      <c r="F358" s="8">
        <v>6</v>
      </c>
      <c r="G358" s="8">
        <v>365</v>
      </c>
      <c r="H358" s="8">
        <v>7</v>
      </c>
      <c r="I358" s="9">
        <v>46133</v>
      </c>
      <c r="J358" s="9">
        <v>46140</v>
      </c>
      <c r="K358" s="8" t="s">
        <v>51</v>
      </c>
      <c r="L358" t="str">
        <f t="shared" si="15"/>
        <v>Ani1357</v>
      </c>
      <c r="M358" t="str">
        <f t="shared" si="16"/>
        <v>Penck</v>
      </c>
      <c r="N358" t="str">
        <f t="shared" si="17"/>
        <v>en P</v>
      </c>
    </row>
    <row r="359" spans="1:14" x14ac:dyDescent="0.3">
      <c r="A359" s="8">
        <v>1358</v>
      </c>
      <c r="B359" s="8" t="s">
        <v>40</v>
      </c>
      <c r="C359" s="8" t="s">
        <v>38</v>
      </c>
      <c r="D359" s="8" t="s">
        <v>18</v>
      </c>
      <c r="E359" s="8" t="s">
        <v>19</v>
      </c>
      <c r="F359" s="8">
        <v>7</v>
      </c>
      <c r="G359" s="8">
        <v>6618</v>
      </c>
      <c r="H359" s="8">
        <v>0</v>
      </c>
      <c r="I359" s="9">
        <v>46127</v>
      </c>
      <c r="J359" s="9">
        <v>46129</v>
      </c>
      <c r="K359" s="8" t="s">
        <v>20</v>
      </c>
      <c r="L359" t="str">
        <f t="shared" si="15"/>
        <v>Dee1358</v>
      </c>
      <c r="M359" t="str">
        <f t="shared" si="16"/>
        <v>Dessk</v>
      </c>
      <c r="N359" t="str">
        <f t="shared" si="17"/>
        <v>esk</v>
      </c>
    </row>
    <row r="360" spans="1:14" x14ac:dyDescent="0.3">
      <c r="A360" s="8">
        <v>1359</v>
      </c>
      <c r="B360" s="8" t="s">
        <v>54</v>
      </c>
      <c r="C360" s="8" t="s">
        <v>12</v>
      </c>
      <c r="D360" s="8" t="s">
        <v>34</v>
      </c>
      <c r="E360" s="8" t="s">
        <v>61</v>
      </c>
      <c r="F360" s="8">
        <v>9</v>
      </c>
      <c r="G360" s="8">
        <v>38179</v>
      </c>
      <c r="H360" s="8">
        <v>0</v>
      </c>
      <c r="I360" s="9">
        <v>46096</v>
      </c>
      <c r="J360" s="9">
        <v>46099</v>
      </c>
      <c r="K360" s="8" t="s">
        <v>15</v>
      </c>
      <c r="L360" t="str">
        <f t="shared" si="15"/>
        <v>Man1359</v>
      </c>
      <c r="M360" t="str">
        <f t="shared" si="16"/>
        <v>Mouse</v>
      </c>
      <c r="N360" t="str">
        <f t="shared" si="17"/>
        <v>ouse</v>
      </c>
    </row>
    <row r="361" spans="1:14" x14ac:dyDescent="0.3">
      <c r="A361" s="8">
        <v>1360</v>
      </c>
      <c r="B361" s="8" t="s">
        <v>11</v>
      </c>
      <c r="C361" s="8" t="s">
        <v>43</v>
      </c>
      <c r="D361" s="8" t="s">
        <v>18</v>
      </c>
      <c r="E361" s="8" t="s">
        <v>23</v>
      </c>
      <c r="F361" s="8">
        <v>19</v>
      </c>
      <c r="G361" s="8">
        <v>6681</v>
      </c>
      <c r="H361" s="8">
        <v>2</v>
      </c>
      <c r="I361" s="9">
        <v>46146</v>
      </c>
      <c r="J361" s="9">
        <v>46150</v>
      </c>
      <c r="K361" s="8" t="s">
        <v>15</v>
      </c>
      <c r="L361" t="str">
        <f t="shared" si="15"/>
        <v>Rit1360</v>
      </c>
      <c r="M361" t="str">
        <f t="shared" si="16"/>
        <v>Table</v>
      </c>
      <c r="N361" t="str">
        <f t="shared" si="17"/>
        <v>able</v>
      </c>
    </row>
    <row r="362" spans="1:14" x14ac:dyDescent="0.3">
      <c r="A362" s="8">
        <v>1361</v>
      </c>
      <c r="B362" s="8" t="s">
        <v>42</v>
      </c>
      <c r="C362" s="8" t="s">
        <v>17</v>
      </c>
      <c r="D362" s="8" t="s">
        <v>18</v>
      </c>
      <c r="E362" s="8" t="s">
        <v>23</v>
      </c>
      <c r="F362" s="8">
        <v>2</v>
      </c>
      <c r="G362" s="8">
        <v>1822</v>
      </c>
      <c r="H362" s="8">
        <v>5</v>
      </c>
      <c r="I362" s="9">
        <v>46141</v>
      </c>
      <c r="J362" s="9">
        <v>46145</v>
      </c>
      <c r="K362" s="8" t="s">
        <v>20</v>
      </c>
      <c r="L362" t="str">
        <f t="shared" si="15"/>
        <v>Nis1361</v>
      </c>
      <c r="M362" t="str">
        <f t="shared" si="16"/>
        <v>Table</v>
      </c>
      <c r="N362" t="str">
        <f t="shared" si="17"/>
        <v>able</v>
      </c>
    </row>
    <row r="363" spans="1:14" x14ac:dyDescent="0.3">
      <c r="A363" s="8">
        <v>1362</v>
      </c>
      <c r="B363" s="8" t="s">
        <v>16</v>
      </c>
      <c r="C363" s="8" t="s">
        <v>12</v>
      </c>
      <c r="D363" s="8" t="s">
        <v>18</v>
      </c>
      <c r="E363" s="8" t="s">
        <v>28</v>
      </c>
      <c r="F363" s="8">
        <v>1</v>
      </c>
      <c r="G363" s="8">
        <v>10474</v>
      </c>
      <c r="H363" s="8">
        <v>0</v>
      </c>
      <c r="I363" s="9">
        <v>46094</v>
      </c>
      <c r="J363" s="9">
        <v>46096</v>
      </c>
      <c r="K363" s="8" t="s">
        <v>29</v>
      </c>
      <c r="L363" t="str">
        <f t="shared" si="15"/>
        <v>Poo1362</v>
      </c>
      <c r="M363" t="str">
        <f t="shared" si="16"/>
        <v>Chair</v>
      </c>
      <c r="N363" t="str">
        <f t="shared" si="17"/>
        <v>hair</v>
      </c>
    </row>
    <row r="364" spans="1:14" x14ac:dyDescent="0.3">
      <c r="A364" s="8">
        <v>1363</v>
      </c>
      <c r="B364" s="8" t="s">
        <v>27</v>
      </c>
      <c r="C364" s="8" t="s">
        <v>25</v>
      </c>
      <c r="D364" s="8" t="s">
        <v>34</v>
      </c>
      <c r="E364" s="8" t="s">
        <v>35</v>
      </c>
      <c r="F364" s="8">
        <v>7</v>
      </c>
      <c r="G364" s="8">
        <v>45381</v>
      </c>
      <c r="H364" s="8">
        <v>0</v>
      </c>
      <c r="I364" s="9">
        <v>46122</v>
      </c>
      <c r="J364" s="9">
        <v>46128</v>
      </c>
      <c r="K364" s="8" t="s">
        <v>15</v>
      </c>
      <c r="L364" t="str">
        <f t="shared" si="15"/>
        <v>Arj1363</v>
      </c>
      <c r="M364" t="str">
        <f t="shared" si="16"/>
        <v>Prier</v>
      </c>
      <c r="N364" t="str">
        <f t="shared" si="17"/>
        <v>rint</v>
      </c>
    </row>
    <row r="365" spans="1:14" x14ac:dyDescent="0.3">
      <c r="A365" s="8">
        <v>1364</v>
      </c>
      <c r="B365" s="8" t="s">
        <v>30</v>
      </c>
      <c r="C365" s="8" t="s">
        <v>22</v>
      </c>
      <c r="D365" s="8" t="s">
        <v>18</v>
      </c>
      <c r="E365" s="8" t="s">
        <v>56</v>
      </c>
      <c r="F365" s="8">
        <v>16</v>
      </c>
      <c r="G365" s="8">
        <v>1744</v>
      </c>
      <c r="H365" s="8">
        <v>15</v>
      </c>
      <c r="I365" s="9">
        <v>46031</v>
      </c>
      <c r="J365" s="9">
        <v>46033</v>
      </c>
      <c r="K365" s="8" t="s">
        <v>51</v>
      </c>
      <c r="L365" t="str">
        <f t="shared" si="15"/>
        <v>Neh1364</v>
      </c>
      <c r="M365" t="str">
        <f t="shared" si="16"/>
        <v>Cabet</v>
      </c>
      <c r="N365" t="str">
        <f t="shared" si="17"/>
        <v>abin</v>
      </c>
    </row>
    <row r="366" spans="1:14" x14ac:dyDescent="0.3">
      <c r="A366" s="8">
        <v>1365</v>
      </c>
      <c r="B366" s="8" t="s">
        <v>46</v>
      </c>
      <c r="C366" s="8" t="s">
        <v>33</v>
      </c>
      <c r="D366" s="8" t="s">
        <v>13</v>
      </c>
      <c r="E366" s="8" t="s">
        <v>50</v>
      </c>
      <c r="F366" s="8">
        <v>17</v>
      </c>
      <c r="G366" s="8">
        <v>119</v>
      </c>
      <c r="H366" s="8">
        <v>7</v>
      </c>
      <c r="I366" s="9">
        <v>46070</v>
      </c>
      <c r="J366" s="9">
        <v>46072</v>
      </c>
      <c r="K366" s="8" t="s">
        <v>20</v>
      </c>
      <c r="L366" t="str">
        <f t="shared" si="15"/>
        <v>Kir1365</v>
      </c>
      <c r="M366" t="str">
        <f t="shared" si="16"/>
        <v>Marer</v>
      </c>
      <c r="N366" t="str">
        <f t="shared" si="17"/>
        <v>arke</v>
      </c>
    </row>
    <row r="367" spans="1:14" x14ac:dyDescent="0.3">
      <c r="A367" s="8">
        <v>1366</v>
      </c>
      <c r="B367" s="8" t="s">
        <v>26</v>
      </c>
      <c r="C367" s="8" t="s">
        <v>17</v>
      </c>
      <c r="D367" s="8" t="s">
        <v>34</v>
      </c>
      <c r="E367" s="8" t="s">
        <v>61</v>
      </c>
      <c r="F367" s="8">
        <v>20</v>
      </c>
      <c r="G367" s="8">
        <v>44312</v>
      </c>
      <c r="H367" s="8">
        <v>10</v>
      </c>
      <c r="I367" s="9">
        <v>46047</v>
      </c>
      <c r="J367" s="9">
        <v>46054</v>
      </c>
      <c r="K367" s="8" t="s">
        <v>29</v>
      </c>
      <c r="L367" t="str">
        <f t="shared" si="15"/>
        <v>Vik1366</v>
      </c>
      <c r="M367" t="str">
        <f t="shared" si="16"/>
        <v>Mouse</v>
      </c>
      <c r="N367" t="str">
        <f t="shared" si="17"/>
        <v>ouse</v>
      </c>
    </row>
    <row r="368" spans="1:14" x14ac:dyDescent="0.3">
      <c r="A368" s="8">
        <v>1367</v>
      </c>
      <c r="B368" s="8" t="s">
        <v>54</v>
      </c>
      <c r="C368" s="8" t="s">
        <v>25</v>
      </c>
      <c r="D368" s="8" t="s">
        <v>13</v>
      </c>
      <c r="E368" s="8" t="s">
        <v>53</v>
      </c>
      <c r="F368" s="8">
        <v>1</v>
      </c>
      <c r="G368" s="8">
        <v>371</v>
      </c>
      <c r="H368" s="8">
        <v>5</v>
      </c>
      <c r="I368" s="9">
        <v>46158</v>
      </c>
      <c r="J368" s="9">
        <v>46168</v>
      </c>
      <c r="K368" s="8" t="s">
        <v>29</v>
      </c>
      <c r="L368" t="str">
        <f t="shared" si="15"/>
        <v>Man1367</v>
      </c>
      <c r="M368" t="str">
        <f t="shared" si="16"/>
        <v>Diary</v>
      </c>
      <c r="N368" t="str">
        <f t="shared" si="17"/>
        <v>iary</v>
      </c>
    </row>
    <row r="369" spans="1:14" x14ac:dyDescent="0.3">
      <c r="A369" s="8">
        <v>1368</v>
      </c>
      <c r="B369" s="8" t="s">
        <v>55</v>
      </c>
      <c r="C369" s="8" t="s">
        <v>38</v>
      </c>
      <c r="D369" s="8" t="s">
        <v>13</v>
      </c>
      <c r="E369" s="8" t="s">
        <v>36</v>
      </c>
      <c r="F369" s="8">
        <v>9</v>
      </c>
      <c r="G369" s="8">
        <v>115</v>
      </c>
      <c r="H369" s="8">
        <v>0</v>
      </c>
      <c r="I369" s="9">
        <v>46036</v>
      </c>
      <c r="J369" s="9">
        <v>46045</v>
      </c>
      <c r="K369" s="8" t="s">
        <v>24</v>
      </c>
      <c r="L369" t="str">
        <f t="shared" si="15"/>
        <v>Sne1368</v>
      </c>
      <c r="M369" t="str">
        <f t="shared" si="16"/>
        <v>Staer</v>
      </c>
      <c r="N369" t="str">
        <f t="shared" si="17"/>
        <v>tapl</v>
      </c>
    </row>
    <row r="370" spans="1:14" x14ac:dyDescent="0.3">
      <c r="A370" s="8">
        <v>1369</v>
      </c>
      <c r="B370" s="8" t="s">
        <v>57</v>
      </c>
      <c r="C370" s="8" t="s">
        <v>25</v>
      </c>
      <c r="D370" s="8" t="s">
        <v>18</v>
      </c>
      <c r="E370" s="8" t="s">
        <v>19</v>
      </c>
      <c r="F370" s="8">
        <v>19</v>
      </c>
      <c r="G370" s="8">
        <v>5840</v>
      </c>
      <c r="H370" s="8">
        <v>5</v>
      </c>
      <c r="I370" s="9">
        <v>46062</v>
      </c>
      <c r="J370" s="9">
        <v>46067</v>
      </c>
      <c r="K370" s="8" t="s">
        <v>15</v>
      </c>
      <c r="L370" t="str">
        <f t="shared" si="15"/>
        <v>Sar1369</v>
      </c>
      <c r="M370" t="str">
        <f t="shared" si="16"/>
        <v>Dessk</v>
      </c>
      <c r="N370" t="str">
        <f t="shared" si="17"/>
        <v>esk</v>
      </c>
    </row>
    <row r="371" spans="1:14" x14ac:dyDescent="0.3">
      <c r="A371" s="8">
        <v>1370</v>
      </c>
      <c r="B371" s="8" t="s">
        <v>59</v>
      </c>
      <c r="C371" s="8" t="s">
        <v>38</v>
      </c>
      <c r="D371" s="8" t="s">
        <v>13</v>
      </c>
      <c r="E371" s="8" t="s">
        <v>53</v>
      </c>
      <c r="F371" s="8">
        <v>13</v>
      </c>
      <c r="G371" s="8">
        <v>337</v>
      </c>
      <c r="H371" s="8">
        <v>7</v>
      </c>
      <c r="I371" s="9">
        <v>46184</v>
      </c>
      <c r="J371" s="9">
        <v>46188</v>
      </c>
      <c r="K371" s="8" t="s">
        <v>15</v>
      </c>
      <c r="L371" t="str">
        <f t="shared" si="15"/>
        <v>Ani1370</v>
      </c>
      <c r="M371" t="str">
        <f t="shared" si="16"/>
        <v>Diary</v>
      </c>
      <c r="N371" t="str">
        <f t="shared" si="17"/>
        <v>iary</v>
      </c>
    </row>
    <row r="372" spans="1:14" x14ac:dyDescent="0.3">
      <c r="A372" s="8">
        <v>1371</v>
      </c>
      <c r="B372" s="8" t="s">
        <v>48</v>
      </c>
      <c r="C372" s="8" t="s">
        <v>38</v>
      </c>
      <c r="D372" s="8" t="s">
        <v>18</v>
      </c>
      <c r="E372" s="8" t="s">
        <v>19</v>
      </c>
      <c r="F372" s="8">
        <v>19</v>
      </c>
      <c r="G372" s="8">
        <v>1087</v>
      </c>
      <c r="H372" s="8">
        <v>15</v>
      </c>
      <c r="I372" s="9">
        <v>46072</v>
      </c>
      <c r="J372" s="9">
        <v>46082</v>
      </c>
      <c r="K372" s="8" t="s">
        <v>20</v>
      </c>
      <c r="L372" t="str">
        <f t="shared" si="15"/>
        <v>Nit1371</v>
      </c>
      <c r="M372" t="str">
        <f t="shared" si="16"/>
        <v>Dessk</v>
      </c>
      <c r="N372" t="str">
        <f t="shared" si="17"/>
        <v>esk</v>
      </c>
    </row>
    <row r="373" spans="1:14" x14ac:dyDescent="0.3">
      <c r="A373" s="8">
        <v>1372</v>
      </c>
      <c r="B373" s="8" t="s">
        <v>48</v>
      </c>
      <c r="C373" s="8" t="s">
        <v>17</v>
      </c>
      <c r="D373" s="8" t="s">
        <v>34</v>
      </c>
      <c r="E373" s="8" t="s">
        <v>39</v>
      </c>
      <c r="F373" s="8">
        <v>9</v>
      </c>
      <c r="G373" s="8">
        <v>9551</v>
      </c>
      <c r="H373" s="8">
        <v>10</v>
      </c>
      <c r="I373" s="9">
        <v>46161</v>
      </c>
      <c r="J373" s="9">
        <v>46168</v>
      </c>
      <c r="K373" s="8" t="s">
        <v>15</v>
      </c>
      <c r="L373" t="str">
        <f t="shared" si="15"/>
        <v>Nit1372</v>
      </c>
      <c r="M373" t="str">
        <f t="shared" si="16"/>
        <v>Keyrd</v>
      </c>
      <c r="N373" t="str">
        <f t="shared" si="17"/>
        <v>eybo</v>
      </c>
    </row>
    <row r="374" spans="1:14" x14ac:dyDescent="0.3">
      <c r="A374" s="8">
        <v>1373</v>
      </c>
      <c r="B374" s="8" t="s">
        <v>54</v>
      </c>
      <c r="C374" s="8" t="s">
        <v>25</v>
      </c>
      <c r="D374" s="8" t="s">
        <v>34</v>
      </c>
      <c r="E374" s="8" t="s">
        <v>60</v>
      </c>
      <c r="F374" s="8">
        <v>11</v>
      </c>
      <c r="G374" s="8">
        <v>47930</v>
      </c>
      <c r="H374" s="8">
        <v>12</v>
      </c>
      <c r="I374" s="9">
        <v>46191</v>
      </c>
      <c r="J374" s="9">
        <v>46201</v>
      </c>
      <c r="K374" s="8" t="s">
        <v>20</v>
      </c>
      <c r="L374" t="str">
        <f t="shared" si="15"/>
        <v>Man1373</v>
      </c>
      <c r="M374" t="str">
        <f t="shared" si="16"/>
        <v>Lapop</v>
      </c>
      <c r="N374" t="str">
        <f t="shared" si="17"/>
        <v>apto</v>
      </c>
    </row>
    <row r="375" spans="1:14" x14ac:dyDescent="0.3">
      <c r="A375" s="8">
        <v>1374</v>
      </c>
      <c r="B375" s="8" t="s">
        <v>57</v>
      </c>
      <c r="C375" s="8" t="s">
        <v>33</v>
      </c>
      <c r="D375" s="8" t="s">
        <v>34</v>
      </c>
      <c r="E375" s="8" t="s">
        <v>35</v>
      </c>
      <c r="F375" s="8">
        <v>12</v>
      </c>
      <c r="G375" s="8">
        <v>66052</v>
      </c>
      <c r="H375" s="8">
        <v>2</v>
      </c>
      <c r="I375" s="9">
        <v>46063</v>
      </c>
      <c r="J375" s="9">
        <v>46066</v>
      </c>
      <c r="K375" s="8" t="s">
        <v>51</v>
      </c>
      <c r="L375" t="str">
        <f t="shared" si="15"/>
        <v>Sar1374</v>
      </c>
      <c r="M375" t="str">
        <f t="shared" si="16"/>
        <v>Prier</v>
      </c>
      <c r="N375" t="str">
        <f t="shared" si="17"/>
        <v>rint</v>
      </c>
    </row>
    <row r="376" spans="1:14" x14ac:dyDescent="0.3">
      <c r="A376" s="8">
        <v>1375</v>
      </c>
      <c r="B376" s="8" t="s">
        <v>46</v>
      </c>
      <c r="C376" s="8" t="s">
        <v>43</v>
      </c>
      <c r="D376" s="8" t="s">
        <v>34</v>
      </c>
      <c r="E376" s="8" t="s">
        <v>45</v>
      </c>
      <c r="F376" s="8">
        <v>20</v>
      </c>
      <c r="G376" s="8">
        <v>56766</v>
      </c>
      <c r="H376" s="8">
        <v>0</v>
      </c>
      <c r="I376" s="9">
        <v>46052</v>
      </c>
      <c r="J376" s="9">
        <v>46061</v>
      </c>
      <c r="K376" s="8" t="s">
        <v>24</v>
      </c>
      <c r="L376" t="str">
        <f t="shared" si="15"/>
        <v>Kir1375</v>
      </c>
      <c r="M376" t="str">
        <f t="shared" si="16"/>
        <v>Monor</v>
      </c>
      <c r="N376" t="str">
        <f t="shared" si="17"/>
        <v>onit</v>
      </c>
    </row>
    <row r="377" spans="1:14" x14ac:dyDescent="0.3">
      <c r="A377" s="8">
        <v>1376</v>
      </c>
      <c r="B377" s="8" t="s">
        <v>52</v>
      </c>
      <c r="C377" s="8" t="s">
        <v>31</v>
      </c>
      <c r="D377" s="8" t="s">
        <v>13</v>
      </c>
      <c r="E377" s="8" t="s">
        <v>50</v>
      </c>
      <c r="F377" s="8">
        <v>20</v>
      </c>
      <c r="G377" s="8">
        <v>429</v>
      </c>
      <c r="H377" s="8">
        <v>5</v>
      </c>
      <c r="I377" s="9">
        <v>46178</v>
      </c>
      <c r="J377" s="9">
        <v>46184</v>
      </c>
      <c r="K377" s="8" t="s">
        <v>20</v>
      </c>
      <c r="L377" t="str">
        <f t="shared" si="15"/>
        <v>Kom1376</v>
      </c>
      <c r="M377" t="str">
        <f t="shared" si="16"/>
        <v>Marer</v>
      </c>
      <c r="N377" t="str">
        <f t="shared" si="17"/>
        <v>arke</v>
      </c>
    </row>
    <row r="378" spans="1:14" x14ac:dyDescent="0.3">
      <c r="A378" s="8">
        <v>1377</v>
      </c>
      <c r="B378" s="8" t="s">
        <v>32</v>
      </c>
      <c r="C378" s="8" t="s">
        <v>38</v>
      </c>
      <c r="D378" s="8" t="s">
        <v>18</v>
      </c>
      <c r="E378" s="8" t="s">
        <v>19</v>
      </c>
      <c r="F378" s="8">
        <v>3</v>
      </c>
      <c r="G378" s="8">
        <v>5480</v>
      </c>
      <c r="H378" s="8">
        <v>12</v>
      </c>
      <c r="I378" s="9">
        <v>46105</v>
      </c>
      <c r="J378" s="9">
        <v>46111</v>
      </c>
      <c r="K378" s="8" t="s">
        <v>24</v>
      </c>
      <c r="L378" t="str">
        <f t="shared" si="15"/>
        <v>Ash1377</v>
      </c>
      <c r="M378" t="str">
        <f t="shared" si="16"/>
        <v>Dessk</v>
      </c>
      <c r="N378" t="str">
        <f t="shared" si="17"/>
        <v>esk</v>
      </c>
    </row>
    <row r="379" spans="1:14" x14ac:dyDescent="0.3">
      <c r="A379" s="8">
        <v>1378</v>
      </c>
      <c r="B379" s="8" t="s">
        <v>55</v>
      </c>
      <c r="C379" s="8" t="s">
        <v>22</v>
      </c>
      <c r="D379" s="8" t="s">
        <v>34</v>
      </c>
      <c r="E379" s="8" t="s">
        <v>45</v>
      </c>
      <c r="F379" s="8">
        <v>15</v>
      </c>
      <c r="G379" s="8">
        <v>22693</v>
      </c>
      <c r="H379" s="8">
        <v>12</v>
      </c>
      <c r="I379" s="9">
        <v>46074</v>
      </c>
      <c r="J379" s="9">
        <v>46080</v>
      </c>
      <c r="K379" s="8" t="s">
        <v>51</v>
      </c>
      <c r="L379" t="str">
        <f t="shared" si="15"/>
        <v>Sne1378</v>
      </c>
      <c r="M379" t="str">
        <f t="shared" si="16"/>
        <v>Monor</v>
      </c>
      <c r="N379" t="str">
        <f t="shared" si="17"/>
        <v>onit</v>
      </c>
    </row>
    <row r="380" spans="1:14" x14ac:dyDescent="0.3">
      <c r="A380" s="8">
        <v>1379</v>
      </c>
      <c r="B380" s="8" t="s">
        <v>47</v>
      </c>
      <c r="C380" s="8" t="s">
        <v>17</v>
      </c>
      <c r="D380" s="8" t="s">
        <v>13</v>
      </c>
      <c r="E380" s="8" t="s">
        <v>14</v>
      </c>
      <c r="F380" s="8">
        <v>11</v>
      </c>
      <c r="G380" s="8">
        <v>136</v>
      </c>
      <c r="H380" s="8">
        <v>15</v>
      </c>
      <c r="I380" s="9">
        <v>46106</v>
      </c>
      <c r="J380" s="9">
        <v>46107</v>
      </c>
      <c r="K380" s="8" t="s">
        <v>20</v>
      </c>
      <c r="L380" t="str">
        <f t="shared" si="15"/>
        <v>Yas1379</v>
      </c>
      <c r="M380" t="str">
        <f t="shared" si="16"/>
        <v>Notok</v>
      </c>
      <c r="N380" t="str">
        <f t="shared" si="17"/>
        <v>oteb</v>
      </c>
    </row>
    <row r="381" spans="1:14" x14ac:dyDescent="0.3">
      <c r="A381" s="8">
        <v>1380</v>
      </c>
      <c r="B381" s="8" t="s">
        <v>52</v>
      </c>
      <c r="C381" s="8" t="s">
        <v>43</v>
      </c>
      <c r="D381" s="8" t="s">
        <v>13</v>
      </c>
      <c r="E381" s="8" t="s">
        <v>53</v>
      </c>
      <c r="F381" s="8">
        <v>3</v>
      </c>
      <c r="G381" s="8">
        <v>412</v>
      </c>
      <c r="H381" s="8">
        <v>7</v>
      </c>
      <c r="I381" s="9">
        <v>46128</v>
      </c>
      <c r="J381" s="9">
        <v>46138</v>
      </c>
      <c r="K381" s="8" t="s">
        <v>24</v>
      </c>
      <c r="L381" t="str">
        <f t="shared" si="15"/>
        <v>Kom1380</v>
      </c>
      <c r="M381" t="str">
        <f t="shared" si="16"/>
        <v>Diary</v>
      </c>
      <c r="N381" t="str">
        <f t="shared" si="17"/>
        <v>iary</v>
      </c>
    </row>
    <row r="382" spans="1:14" x14ac:dyDescent="0.3">
      <c r="A382" s="8">
        <v>1381</v>
      </c>
      <c r="B382" s="8" t="s">
        <v>55</v>
      </c>
      <c r="C382" s="8" t="s">
        <v>33</v>
      </c>
      <c r="D382" s="8" t="s">
        <v>18</v>
      </c>
      <c r="E382" s="8" t="s">
        <v>28</v>
      </c>
      <c r="F382" s="8">
        <v>5</v>
      </c>
      <c r="G382" s="8">
        <v>7484</v>
      </c>
      <c r="H382" s="8">
        <v>2</v>
      </c>
      <c r="I382" s="9">
        <v>46089</v>
      </c>
      <c r="J382" s="9">
        <v>46093</v>
      </c>
      <c r="K382" s="8" t="s">
        <v>20</v>
      </c>
      <c r="L382" t="str">
        <f t="shared" si="15"/>
        <v>Sne1381</v>
      </c>
      <c r="M382" t="str">
        <f t="shared" si="16"/>
        <v>Chair</v>
      </c>
      <c r="N382" t="str">
        <f t="shared" si="17"/>
        <v>hair</v>
      </c>
    </row>
    <row r="383" spans="1:14" x14ac:dyDescent="0.3">
      <c r="A383" s="8">
        <v>1382</v>
      </c>
      <c r="B383" s="8" t="s">
        <v>49</v>
      </c>
      <c r="C383" s="8" t="s">
        <v>33</v>
      </c>
      <c r="D383" s="8" t="s">
        <v>34</v>
      </c>
      <c r="E383" s="8" t="s">
        <v>60</v>
      </c>
      <c r="F383" s="8">
        <v>11</v>
      </c>
      <c r="G383" s="8">
        <v>36198</v>
      </c>
      <c r="H383" s="8">
        <v>0</v>
      </c>
      <c r="I383" s="9">
        <v>46130</v>
      </c>
      <c r="J383" s="9">
        <v>46134</v>
      </c>
      <c r="K383" s="8" t="s">
        <v>15</v>
      </c>
      <c r="L383" t="str">
        <f t="shared" si="15"/>
        <v>Aja1382</v>
      </c>
      <c r="M383" t="str">
        <f t="shared" si="16"/>
        <v>Lapop</v>
      </c>
      <c r="N383" t="str">
        <f t="shared" si="17"/>
        <v>apto</v>
      </c>
    </row>
    <row r="384" spans="1:14" x14ac:dyDescent="0.3">
      <c r="A384" s="8">
        <v>1383</v>
      </c>
      <c r="B384" s="8" t="s">
        <v>32</v>
      </c>
      <c r="C384" s="8" t="s">
        <v>12</v>
      </c>
      <c r="D384" s="8" t="s">
        <v>13</v>
      </c>
      <c r="E384" s="8" t="s">
        <v>53</v>
      </c>
      <c r="F384" s="8">
        <v>14</v>
      </c>
      <c r="G384" s="8">
        <v>334</v>
      </c>
      <c r="H384" s="8">
        <v>10</v>
      </c>
      <c r="I384" s="9">
        <v>46196</v>
      </c>
      <c r="J384" s="9">
        <v>46203</v>
      </c>
      <c r="K384" s="8" t="s">
        <v>15</v>
      </c>
      <c r="L384" t="str">
        <f t="shared" si="15"/>
        <v>Ash1383</v>
      </c>
      <c r="M384" t="str">
        <f t="shared" si="16"/>
        <v>Diary</v>
      </c>
      <c r="N384" t="str">
        <f t="shared" si="17"/>
        <v>iary</v>
      </c>
    </row>
    <row r="385" spans="1:14" x14ac:dyDescent="0.3">
      <c r="A385" s="8">
        <v>1384</v>
      </c>
      <c r="B385" s="8" t="s">
        <v>59</v>
      </c>
      <c r="C385" s="8" t="s">
        <v>12</v>
      </c>
      <c r="D385" s="8" t="s">
        <v>34</v>
      </c>
      <c r="E385" s="8" t="s">
        <v>39</v>
      </c>
      <c r="F385" s="8">
        <v>15</v>
      </c>
      <c r="G385" s="8">
        <v>38116</v>
      </c>
      <c r="H385" s="8">
        <v>0</v>
      </c>
      <c r="I385" s="9">
        <v>46074</v>
      </c>
      <c r="J385" s="9">
        <v>46078</v>
      </c>
      <c r="K385" s="8" t="s">
        <v>29</v>
      </c>
      <c r="L385" t="str">
        <f t="shared" si="15"/>
        <v>Ani1384</v>
      </c>
      <c r="M385" t="str">
        <f t="shared" si="16"/>
        <v>Keyrd</v>
      </c>
      <c r="N385" t="str">
        <f t="shared" si="17"/>
        <v>eybo</v>
      </c>
    </row>
    <row r="386" spans="1:14" x14ac:dyDescent="0.3">
      <c r="A386" s="8">
        <v>1385</v>
      </c>
      <c r="B386" s="8" t="s">
        <v>26</v>
      </c>
      <c r="C386" s="8" t="s">
        <v>33</v>
      </c>
      <c r="D386" s="8" t="s">
        <v>34</v>
      </c>
      <c r="E386" s="8" t="s">
        <v>39</v>
      </c>
      <c r="F386" s="8">
        <v>12</v>
      </c>
      <c r="G386" s="8">
        <v>61360</v>
      </c>
      <c r="H386" s="8">
        <v>10</v>
      </c>
      <c r="I386" s="9">
        <v>46048</v>
      </c>
      <c r="J386" s="9">
        <v>46053</v>
      </c>
      <c r="K386" s="8" t="s">
        <v>51</v>
      </c>
      <c r="L386" t="str">
        <f t="shared" si="15"/>
        <v>Vik1385</v>
      </c>
      <c r="M386" t="str">
        <f t="shared" si="16"/>
        <v>Keyrd</v>
      </c>
      <c r="N386" t="str">
        <f t="shared" si="17"/>
        <v>eybo</v>
      </c>
    </row>
    <row r="387" spans="1:14" x14ac:dyDescent="0.3">
      <c r="A387" s="8">
        <v>1386</v>
      </c>
      <c r="B387" s="8" t="s">
        <v>27</v>
      </c>
      <c r="C387" s="8" t="s">
        <v>31</v>
      </c>
      <c r="D387" s="8" t="s">
        <v>18</v>
      </c>
      <c r="E387" s="8" t="s">
        <v>28</v>
      </c>
      <c r="F387" s="8">
        <v>9</v>
      </c>
      <c r="G387" s="8">
        <v>7509</v>
      </c>
      <c r="H387" s="8">
        <v>5</v>
      </c>
      <c r="I387" s="9">
        <v>46162</v>
      </c>
      <c r="J387" s="9">
        <v>46171</v>
      </c>
      <c r="K387" s="8" t="s">
        <v>51</v>
      </c>
      <c r="L387" t="str">
        <f t="shared" ref="L387:L401" si="18">LEFT(B387, 3)&amp;A387</f>
        <v>Arj1386</v>
      </c>
      <c r="M387" t="str">
        <f t="shared" ref="M387:M401" si="19">LEFT(E387, 3)&amp; RIGHT(E387, 2)</f>
        <v>Chair</v>
      </c>
      <c r="N387" t="str">
        <f t="shared" ref="N387:N401" si="20">MID(E387, 2, 4)</f>
        <v>hair</v>
      </c>
    </row>
    <row r="388" spans="1:14" x14ac:dyDescent="0.3">
      <c r="A388" s="8">
        <v>1387</v>
      </c>
      <c r="B388" s="8" t="s">
        <v>54</v>
      </c>
      <c r="C388" s="8" t="s">
        <v>33</v>
      </c>
      <c r="D388" s="8" t="s">
        <v>34</v>
      </c>
      <c r="E388" s="8" t="s">
        <v>35</v>
      </c>
      <c r="F388" s="8">
        <v>11</v>
      </c>
      <c r="G388" s="8">
        <v>56515</v>
      </c>
      <c r="H388" s="8">
        <v>5</v>
      </c>
      <c r="I388" s="9">
        <v>46102</v>
      </c>
      <c r="J388" s="9">
        <v>46112</v>
      </c>
      <c r="K388" s="8" t="s">
        <v>24</v>
      </c>
      <c r="L388" t="str">
        <f t="shared" si="18"/>
        <v>Man1387</v>
      </c>
      <c r="M388" t="str">
        <f t="shared" si="19"/>
        <v>Prier</v>
      </c>
      <c r="N388" t="str">
        <f t="shared" si="20"/>
        <v>rint</v>
      </c>
    </row>
    <row r="389" spans="1:14" x14ac:dyDescent="0.3">
      <c r="A389" s="8">
        <v>1388</v>
      </c>
      <c r="B389" s="8" t="s">
        <v>55</v>
      </c>
      <c r="C389" s="8" t="s">
        <v>31</v>
      </c>
      <c r="D389" s="8" t="s">
        <v>18</v>
      </c>
      <c r="E389" s="8" t="s">
        <v>28</v>
      </c>
      <c r="F389" s="8">
        <v>12</v>
      </c>
      <c r="G389" s="8">
        <v>11662</v>
      </c>
      <c r="H389" s="8">
        <v>12</v>
      </c>
      <c r="I389" s="9">
        <v>46094</v>
      </c>
      <c r="J389" s="9">
        <v>46096</v>
      </c>
      <c r="K389" s="8" t="s">
        <v>20</v>
      </c>
      <c r="L389" t="str">
        <f t="shared" si="18"/>
        <v>Sne1388</v>
      </c>
      <c r="M389" t="str">
        <f t="shared" si="19"/>
        <v>Chair</v>
      </c>
      <c r="N389" t="str">
        <f t="shared" si="20"/>
        <v>hair</v>
      </c>
    </row>
    <row r="390" spans="1:14" x14ac:dyDescent="0.3">
      <c r="A390" s="8">
        <v>1389</v>
      </c>
      <c r="B390" s="8" t="s">
        <v>32</v>
      </c>
      <c r="C390" s="8" t="s">
        <v>12</v>
      </c>
      <c r="D390" s="8" t="s">
        <v>34</v>
      </c>
      <c r="E390" s="8" t="s">
        <v>41</v>
      </c>
      <c r="F390" s="8">
        <v>3</v>
      </c>
      <c r="G390" s="8">
        <v>56380</v>
      </c>
      <c r="H390" s="8">
        <v>5</v>
      </c>
      <c r="I390" s="9">
        <v>46044</v>
      </c>
      <c r="J390" s="9">
        <v>46048</v>
      </c>
      <c r="K390" s="8" t="s">
        <v>51</v>
      </c>
      <c r="L390" t="str">
        <f t="shared" si="18"/>
        <v>Ash1389</v>
      </c>
      <c r="M390" t="str">
        <f t="shared" si="19"/>
        <v>Heaet</v>
      </c>
      <c r="N390" t="str">
        <f t="shared" si="20"/>
        <v>eads</v>
      </c>
    </row>
    <row r="391" spans="1:14" x14ac:dyDescent="0.3">
      <c r="A391" s="8">
        <v>1390</v>
      </c>
      <c r="B391" s="8" t="s">
        <v>58</v>
      </c>
      <c r="C391" s="8" t="s">
        <v>43</v>
      </c>
      <c r="D391" s="8" t="s">
        <v>18</v>
      </c>
      <c r="E391" s="8" t="s">
        <v>19</v>
      </c>
      <c r="F391" s="8">
        <v>9</v>
      </c>
      <c r="G391" s="8">
        <v>7670</v>
      </c>
      <c r="H391" s="8">
        <v>0</v>
      </c>
      <c r="I391" s="9">
        <v>46076</v>
      </c>
      <c r="J391" s="9">
        <v>46081</v>
      </c>
      <c r="K391" s="8" t="s">
        <v>51</v>
      </c>
      <c r="L391" t="str">
        <f t="shared" si="18"/>
        <v>Roh1390</v>
      </c>
      <c r="M391" t="str">
        <f t="shared" si="19"/>
        <v>Dessk</v>
      </c>
      <c r="N391" t="str">
        <f t="shared" si="20"/>
        <v>esk</v>
      </c>
    </row>
    <row r="392" spans="1:14" x14ac:dyDescent="0.3">
      <c r="A392" s="8">
        <v>1391</v>
      </c>
      <c r="B392" s="8" t="s">
        <v>30</v>
      </c>
      <c r="C392" s="8" t="s">
        <v>31</v>
      </c>
      <c r="D392" s="8" t="s">
        <v>34</v>
      </c>
      <c r="E392" s="8" t="s">
        <v>35</v>
      </c>
      <c r="F392" s="8">
        <v>5</v>
      </c>
      <c r="G392" s="8">
        <v>65270</v>
      </c>
      <c r="H392" s="8">
        <v>5</v>
      </c>
      <c r="I392" s="9">
        <v>46100</v>
      </c>
      <c r="J392" s="9">
        <v>46103</v>
      </c>
      <c r="K392" s="8" t="s">
        <v>24</v>
      </c>
      <c r="L392" t="str">
        <f t="shared" si="18"/>
        <v>Neh1391</v>
      </c>
      <c r="M392" t="str">
        <f t="shared" si="19"/>
        <v>Prier</v>
      </c>
      <c r="N392" t="str">
        <f t="shared" si="20"/>
        <v>rint</v>
      </c>
    </row>
    <row r="393" spans="1:14" x14ac:dyDescent="0.3">
      <c r="A393" s="8">
        <v>1392</v>
      </c>
      <c r="B393" s="8" t="s">
        <v>29</v>
      </c>
      <c r="C393" s="8" t="s">
        <v>43</v>
      </c>
      <c r="D393" s="8" t="s">
        <v>34</v>
      </c>
      <c r="E393" s="8" t="s">
        <v>35</v>
      </c>
      <c r="F393" s="8">
        <v>13</v>
      </c>
      <c r="G393" s="8">
        <v>23903</v>
      </c>
      <c r="H393" s="8">
        <v>5</v>
      </c>
      <c r="I393" s="9">
        <v>46124</v>
      </c>
      <c r="J393" s="9">
        <v>46125</v>
      </c>
      <c r="K393" s="8" t="s">
        <v>29</v>
      </c>
      <c r="L393" t="str">
        <f t="shared" si="18"/>
        <v>Pri1392</v>
      </c>
      <c r="M393" t="str">
        <f t="shared" si="19"/>
        <v>Prier</v>
      </c>
      <c r="N393" t="str">
        <f t="shared" si="20"/>
        <v>rint</v>
      </c>
    </row>
    <row r="394" spans="1:14" x14ac:dyDescent="0.3">
      <c r="A394" s="8">
        <v>1393</v>
      </c>
      <c r="B394" s="8" t="s">
        <v>30</v>
      </c>
      <c r="C394" s="8" t="s">
        <v>25</v>
      </c>
      <c r="D394" s="8" t="s">
        <v>34</v>
      </c>
      <c r="E394" s="8" t="s">
        <v>45</v>
      </c>
      <c r="F394" s="8">
        <v>17</v>
      </c>
      <c r="G394" s="8">
        <v>30351</v>
      </c>
      <c r="H394" s="8">
        <v>15</v>
      </c>
      <c r="I394" s="9">
        <v>46047</v>
      </c>
      <c r="J394" s="9">
        <v>46051</v>
      </c>
      <c r="K394" s="8" t="s">
        <v>51</v>
      </c>
      <c r="L394" t="str">
        <f t="shared" si="18"/>
        <v>Neh1393</v>
      </c>
      <c r="M394" t="str">
        <f t="shared" si="19"/>
        <v>Monor</v>
      </c>
      <c r="N394" t="str">
        <f t="shared" si="20"/>
        <v>onit</v>
      </c>
    </row>
    <row r="395" spans="1:14" x14ac:dyDescent="0.3">
      <c r="A395" s="8">
        <v>1394</v>
      </c>
      <c r="B395" s="8" t="s">
        <v>54</v>
      </c>
      <c r="C395" s="8" t="s">
        <v>12</v>
      </c>
      <c r="D395" s="8" t="s">
        <v>13</v>
      </c>
      <c r="E395" s="8" t="s">
        <v>14</v>
      </c>
      <c r="F395" s="8">
        <v>10</v>
      </c>
      <c r="G395" s="8">
        <v>138</v>
      </c>
      <c r="H395" s="8">
        <v>2</v>
      </c>
      <c r="I395" s="9">
        <v>46056</v>
      </c>
      <c r="J395" s="9">
        <v>46057</v>
      </c>
      <c r="K395" s="8" t="s">
        <v>15</v>
      </c>
      <c r="L395" t="str">
        <f t="shared" si="18"/>
        <v>Man1394</v>
      </c>
      <c r="M395" t="str">
        <f t="shared" si="19"/>
        <v>Notok</v>
      </c>
      <c r="N395" t="str">
        <f t="shared" si="20"/>
        <v>oteb</v>
      </c>
    </row>
    <row r="396" spans="1:14" x14ac:dyDescent="0.3">
      <c r="A396" s="8">
        <v>1395</v>
      </c>
      <c r="B396" s="8" t="s">
        <v>54</v>
      </c>
      <c r="C396" s="8" t="s">
        <v>33</v>
      </c>
      <c r="D396" s="8" t="s">
        <v>18</v>
      </c>
      <c r="E396" s="8" t="s">
        <v>44</v>
      </c>
      <c r="F396" s="8">
        <v>18</v>
      </c>
      <c r="G396" s="8">
        <v>10402</v>
      </c>
      <c r="H396" s="8">
        <v>15</v>
      </c>
      <c r="I396" s="9">
        <v>46062</v>
      </c>
      <c r="J396" s="9">
        <v>46067</v>
      </c>
      <c r="K396" s="8" t="s">
        <v>29</v>
      </c>
      <c r="L396" t="str">
        <f t="shared" si="18"/>
        <v>Man1395</v>
      </c>
      <c r="M396" t="str">
        <f t="shared" si="19"/>
        <v>Boolf</v>
      </c>
      <c r="N396" t="str">
        <f t="shared" si="20"/>
        <v>ooks</v>
      </c>
    </row>
    <row r="397" spans="1:14" x14ac:dyDescent="0.3">
      <c r="A397" s="8">
        <v>1396</v>
      </c>
      <c r="B397" s="8" t="s">
        <v>21</v>
      </c>
      <c r="C397" s="8" t="s">
        <v>38</v>
      </c>
      <c r="D397" s="8" t="s">
        <v>13</v>
      </c>
      <c r="E397" s="8" t="s">
        <v>53</v>
      </c>
      <c r="F397" s="8">
        <v>8</v>
      </c>
      <c r="G397" s="8">
        <v>54</v>
      </c>
      <c r="H397" s="8">
        <v>15</v>
      </c>
      <c r="I397" s="9">
        <v>46031</v>
      </c>
      <c r="J397" s="9">
        <v>46035</v>
      </c>
      <c r="K397" s="8" t="s">
        <v>15</v>
      </c>
      <c r="L397" t="str">
        <f t="shared" si="18"/>
        <v>Mee1396</v>
      </c>
      <c r="M397" t="str">
        <f t="shared" si="19"/>
        <v>Diary</v>
      </c>
      <c r="N397" t="str">
        <f t="shared" si="20"/>
        <v>iary</v>
      </c>
    </row>
    <row r="398" spans="1:14" x14ac:dyDescent="0.3">
      <c r="A398" s="8">
        <v>1397</v>
      </c>
      <c r="B398" s="8" t="s">
        <v>21</v>
      </c>
      <c r="C398" s="8" t="s">
        <v>33</v>
      </c>
      <c r="D398" s="8" t="s">
        <v>18</v>
      </c>
      <c r="E398" s="8" t="s">
        <v>23</v>
      </c>
      <c r="F398" s="8">
        <v>1</v>
      </c>
      <c r="G398" s="8">
        <v>8948</v>
      </c>
      <c r="H398" s="8">
        <v>5</v>
      </c>
      <c r="I398" s="9">
        <v>46194</v>
      </c>
      <c r="J398" s="9">
        <v>46201</v>
      </c>
      <c r="K398" s="8" t="s">
        <v>51</v>
      </c>
      <c r="L398" t="str">
        <f t="shared" si="18"/>
        <v>Mee1397</v>
      </c>
      <c r="M398" t="str">
        <f t="shared" si="19"/>
        <v>Table</v>
      </c>
      <c r="N398" t="str">
        <f t="shared" si="20"/>
        <v>able</v>
      </c>
    </row>
    <row r="399" spans="1:14" x14ac:dyDescent="0.3">
      <c r="A399" s="8">
        <v>1398</v>
      </c>
      <c r="B399" s="8" t="s">
        <v>58</v>
      </c>
      <c r="C399" s="8" t="s">
        <v>43</v>
      </c>
      <c r="D399" s="8" t="s">
        <v>34</v>
      </c>
      <c r="E399" s="8" t="s">
        <v>39</v>
      </c>
      <c r="F399" s="8">
        <v>12</v>
      </c>
      <c r="G399" s="8">
        <v>10668</v>
      </c>
      <c r="H399" s="8">
        <v>0</v>
      </c>
      <c r="I399" s="9">
        <v>46170</v>
      </c>
      <c r="J399" s="9">
        <v>46176</v>
      </c>
      <c r="K399" s="8" t="s">
        <v>15</v>
      </c>
      <c r="L399" t="str">
        <f t="shared" si="18"/>
        <v>Roh1398</v>
      </c>
      <c r="M399" t="str">
        <f t="shared" si="19"/>
        <v>Keyrd</v>
      </c>
      <c r="N399" t="str">
        <f t="shared" si="20"/>
        <v>eybo</v>
      </c>
    </row>
    <row r="400" spans="1:14" x14ac:dyDescent="0.3">
      <c r="A400" s="8">
        <v>1399</v>
      </c>
      <c r="B400" s="8" t="s">
        <v>48</v>
      </c>
      <c r="C400" s="8" t="s">
        <v>31</v>
      </c>
      <c r="D400" s="8" t="s">
        <v>13</v>
      </c>
      <c r="E400" s="8" t="s">
        <v>14</v>
      </c>
      <c r="F400" s="8">
        <v>15</v>
      </c>
      <c r="G400" s="8">
        <v>87</v>
      </c>
      <c r="H400" s="8">
        <v>15</v>
      </c>
      <c r="I400" s="9">
        <v>46089</v>
      </c>
      <c r="J400" s="9">
        <v>46093</v>
      </c>
      <c r="K400" s="8" t="s">
        <v>20</v>
      </c>
      <c r="L400" t="str">
        <f t="shared" si="18"/>
        <v>Nit1399</v>
      </c>
      <c r="M400" t="str">
        <f t="shared" si="19"/>
        <v>Notok</v>
      </c>
      <c r="N400" t="str">
        <f t="shared" si="20"/>
        <v>oteb</v>
      </c>
    </row>
    <row r="401" spans="1:14" x14ac:dyDescent="0.3">
      <c r="A401" s="8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8" t="s">
        <v>20</v>
      </c>
      <c r="L401" t="str">
        <f t="shared" si="18"/>
        <v>Dee1400</v>
      </c>
      <c r="M401" t="str">
        <f t="shared" si="19"/>
        <v>Prier</v>
      </c>
      <c r="N401" t="str">
        <f t="shared" si="20"/>
        <v>rint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2F09-5972-45DC-9441-272AAE128373}">
  <dimension ref="A1:N401"/>
  <sheetViews>
    <sheetView workbookViewId="0">
      <selection activeCell="N393" sqref="N393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6.6640625" customWidth="1"/>
    <col min="13" max="13" width="17.44140625" customWidth="1"/>
    <col min="14" max="14" width="14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76</v>
      </c>
      <c r="M1" t="s">
        <v>77</v>
      </c>
      <c r="N1" t="s">
        <v>78</v>
      </c>
    </row>
    <row r="2" spans="1:14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t="str">
        <f>UPPER(B2)</f>
        <v>RITESH</v>
      </c>
      <c r="M2" t="str">
        <f>LOWER(E2)</f>
        <v>notebook</v>
      </c>
      <c r="N2">
        <f>LEN(E2)</f>
        <v>8</v>
      </c>
    </row>
    <row r="3" spans="1:14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t="str">
        <f t="shared" ref="L3:L66" si="0">UPPER(B3)</f>
        <v>POOJA</v>
      </c>
      <c r="M3" t="str">
        <f t="shared" ref="M3:M66" si="1">LOWER(E3)</f>
        <v>desk</v>
      </c>
      <c r="N3">
        <f t="shared" ref="N3:N66" si="2">LEN(E3)</f>
        <v>4</v>
      </c>
    </row>
    <row r="4" spans="1:14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t="str">
        <f t="shared" si="0"/>
        <v>MEERA</v>
      </c>
      <c r="M4" t="str">
        <f t="shared" si="1"/>
        <v>table</v>
      </c>
      <c r="N4">
        <f t="shared" si="2"/>
        <v>5</v>
      </c>
    </row>
    <row r="5" spans="1:14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t="str">
        <f t="shared" si="0"/>
        <v>POOJA</v>
      </c>
      <c r="M5" t="str">
        <f t="shared" si="1"/>
        <v>table</v>
      </c>
      <c r="N5">
        <f t="shared" si="2"/>
        <v>5</v>
      </c>
    </row>
    <row r="6" spans="1:14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t="str">
        <f t="shared" si="0"/>
        <v>VIKRAM</v>
      </c>
      <c r="M6" t="str">
        <f t="shared" si="1"/>
        <v>notebook</v>
      </c>
      <c r="N6">
        <f t="shared" si="2"/>
        <v>8</v>
      </c>
    </row>
    <row r="7" spans="1:14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t="str">
        <f t="shared" si="0"/>
        <v>ARJUN</v>
      </c>
      <c r="M7" t="str">
        <f t="shared" si="1"/>
        <v>chair</v>
      </c>
      <c r="N7">
        <f t="shared" si="2"/>
        <v>5</v>
      </c>
    </row>
    <row r="8" spans="1:14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t="str">
        <f t="shared" si="0"/>
        <v>MEERA</v>
      </c>
      <c r="M8" t="str">
        <f t="shared" si="1"/>
        <v>notebook</v>
      </c>
      <c r="N8">
        <f t="shared" si="2"/>
        <v>8</v>
      </c>
    </row>
    <row r="9" spans="1:14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t="str">
        <f t="shared" si="0"/>
        <v>NEHA</v>
      </c>
      <c r="M9" t="str">
        <f t="shared" si="1"/>
        <v>chair</v>
      </c>
      <c r="N9">
        <f t="shared" si="2"/>
        <v>5</v>
      </c>
    </row>
    <row r="10" spans="1:14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t="str">
        <f t="shared" si="0"/>
        <v>ASHA</v>
      </c>
      <c r="M10" t="str">
        <f t="shared" si="1"/>
        <v>printer</v>
      </c>
      <c r="N10">
        <f t="shared" si="2"/>
        <v>7</v>
      </c>
    </row>
    <row r="11" spans="1:14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t="str">
        <f t="shared" si="0"/>
        <v>RITESH</v>
      </c>
      <c r="M11" t="str">
        <f t="shared" si="1"/>
        <v>stapler</v>
      </c>
      <c r="N11">
        <f t="shared" si="2"/>
        <v>7</v>
      </c>
    </row>
    <row r="12" spans="1:14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t="str">
        <f t="shared" si="0"/>
        <v>RITESH</v>
      </c>
      <c r="M12" t="str">
        <f t="shared" si="1"/>
        <v>pen pack</v>
      </c>
      <c r="N12">
        <f t="shared" si="2"/>
        <v>8</v>
      </c>
    </row>
    <row r="13" spans="1:14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t="str">
        <f t="shared" si="0"/>
        <v>VIKRAM</v>
      </c>
      <c r="M13" t="str">
        <f t="shared" si="1"/>
        <v>keyboard</v>
      </c>
      <c r="N13">
        <f t="shared" si="2"/>
        <v>8</v>
      </c>
    </row>
    <row r="14" spans="1:14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t="str">
        <f t="shared" si="0"/>
        <v>POOJA</v>
      </c>
      <c r="M14" t="str">
        <f t="shared" si="1"/>
        <v>stapler</v>
      </c>
      <c r="N14">
        <f t="shared" si="2"/>
        <v>7</v>
      </c>
    </row>
    <row r="15" spans="1:14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t="str">
        <f t="shared" si="0"/>
        <v>DEEPAK</v>
      </c>
      <c r="M15" t="str">
        <f t="shared" si="1"/>
        <v>headset</v>
      </c>
      <c r="N15">
        <f t="shared" si="2"/>
        <v>7</v>
      </c>
    </row>
    <row r="16" spans="1:14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t="str">
        <f t="shared" si="0"/>
        <v>NISHA</v>
      </c>
      <c r="M16" t="str">
        <f t="shared" si="1"/>
        <v>bookshelf</v>
      </c>
      <c r="N16">
        <f t="shared" si="2"/>
        <v>9</v>
      </c>
    </row>
    <row r="17" spans="1:14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t="str">
        <f t="shared" si="0"/>
        <v>ASHA</v>
      </c>
      <c r="M17" t="str">
        <f t="shared" si="1"/>
        <v>monitor</v>
      </c>
      <c r="N17">
        <f t="shared" si="2"/>
        <v>7</v>
      </c>
    </row>
    <row r="18" spans="1:14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t="str">
        <f t="shared" si="0"/>
        <v>KIRAN</v>
      </c>
      <c r="M18" t="str">
        <f t="shared" si="1"/>
        <v>stapler</v>
      </c>
      <c r="N18">
        <f t="shared" si="2"/>
        <v>7</v>
      </c>
    </row>
    <row r="19" spans="1:14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t="str">
        <f t="shared" si="0"/>
        <v>YASH</v>
      </c>
      <c r="M19" t="str">
        <f t="shared" si="1"/>
        <v>notebook</v>
      </c>
      <c r="N19">
        <f t="shared" si="2"/>
        <v>8</v>
      </c>
    </row>
    <row r="20" spans="1:14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t="str">
        <f t="shared" si="0"/>
        <v>RITESH</v>
      </c>
      <c r="M20" t="str">
        <f t="shared" si="1"/>
        <v>headset</v>
      </c>
      <c r="N20">
        <f t="shared" si="2"/>
        <v>7</v>
      </c>
    </row>
    <row r="21" spans="1:14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t="str">
        <f t="shared" si="0"/>
        <v>KIRAN</v>
      </c>
      <c r="M21" t="str">
        <f t="shared" si="1"/>
        <v>desk</v>
      </c>
      <c r="N21">
        <f t="shared" si="2"/>
        <v>4</v>
      </c>
    </row>
    <row r="22" spans="1:14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t="str">
        <f t="shared" si="0"/>
        <v>NITIN</v>
      </c>
      <c r="M22" t="str">
        <f t="shared" si="1"/>
        <v>notebook</v>
      </c>
      <c r="N22">
        <f t="shared" si="2"/>
        <v>8</v>
      </c>
    </row>
    <row r="23" spans="1:14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t="str">
        <f t="shared" si="0"/>
        <v>VIKRAM</v>
      </c>
      <c r="M23" t="str">
        <f t="shared" si="1"/>
        <v>monitor</v>
      </c>
      <c r="N23">
        <f t="shared" si="2"/>
        <v>7</v>
      </c>
    </row>
    <row r="24" spans="1:14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t="str">
        <f t="shared" si="0"/>
        <v>DEEPAK</v>
      </c>
      <c r="M24" t="str">
        <f t="shared" si="1"/>
        <v>bookshelf</v>
      </c>
      <c r="N24">
        <f t="shared" si="2"/>
        <v>9</v>
      </c>
    </row>
    <row r="25" spans="1:14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t="str">
        <f t="shared" si="0"/>
        <v>ASHA</v>
      </c>
      <c r="M25" t="str">
        <f t="shared" si="1"/>
        <v>headset</v>
      </c>
      <c r="N25">
        <f t="shared" si="2"/>
        <v>7</v>
      </c>
    </row>
    <row r="26" spans="1:14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t="str">
        <f t="shared" si="0"/>
        <v>MEERA</v>
      </c>
      <c r="M26" t="str">
        <f t="shared" si="1"/>
        <v>desk</v>
      </c>
      <c r="N26">
        <f t="shared" si="2"/>
        <v>4</v>
      </c>
    </row>
    <row r="27" spans="1:14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t="str">
        <f t="shared" si="0"/>
        <v>AJAY</v>
      </c>
      <c r="M27" t="str">
        <f t="shared" si="1"/>
        <v>marker</v>
      </c>
      <c r="N27">
        <f t="shared" si="2"/>
        <v>6</v>
      </c>
    </row>
    <row r="28" spans="1:14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t="str">
        <f t="shared" si="0"/>
        <v>PRIYA</v>
      </c>
      <c r="M28" t="str">
        <f t="shared" si="1"/>
        <v>marker</v>
      </c>
      <c r="N28">
        <f t="shared" si="2"/>
        <v>6</v>
      </c>
    </row>
    <row r="29" spans="1:14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t="str">
        <f t="shared" si="0"/>
        <v>YASH</v>
      </c>
      <c r="M29" t="str">
        <f t="shared" si="1"/>
        <v>stapler</v>
      </c>
      <c r="N29">
        <f t="shared" si="2"/>
        <v>7</v>
      </c>
    </row>
    <row r="30" spans="1:14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t="str">
        <f t="shared" si="0"/>
        <v>NEHA</v>
      </c>
      <c r="M30" t="str">
        <f t="shared" si="1"/>
        <v>stapler</v>
      </c>
      <c r="N30">
        <f t="shared" si="2"/>
        <v>7</v>
      </c>
    </row>
    <row r="31" spans="1:14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t="str">
        <f t="shared" si="0"/>
        <v>KOMAL</v>
      </c>
      <c r="M31" t="str">
        <f t="shared" si="1"/>
        <v>diary</v>
      </c>
      <c r="N31">
        <f t="shared" si="2"/>
        <v>5</v>
      </c>
    </row>
    <row r="32" spans="1:14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t="str">
        <f t="shared" si="0"/>
        <v>MANOJ</v>
      </c>
      <c r="M32" t="str">
        <f t="shared" si="1"/>
        <v>diary</v>
      </c>
      <c r="N32">
        <f t="shared" si="2"/>
        <v>5</v>
      </c>
    </row>
    <row r="33" spans="1:14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t="str">
        <f t="shared" si="0"/>
        <v>MANOJ</v>
      </c>
      <c r="M33" t="str">
        <f t="shared" si="1"/>
        <v>keyboard</v>
      </c>
      <c r="N33">
        <f t="shared" si="2"/>
        <v>8</v>
      </c>
    </row>
    <row r="34" spans="1:14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t="str">
        <f t="shared" si="0"/>
        <v>RITESH</v>
      </c>
      <c r="M34" t="str">
        <f t="shared" si="1"/>
        <v>desk</v>
      </c>
      <c r="N34">
        <f t="shared" si="2"/>
        <v>4</v>
      </c>
    </row>
    <row r="35" spans="1:14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t="str">
        <f t="shared" si="0"/>
        <v>SNEHA</v>
      </c>
      <c r="M35" t="str">
        <f t="shared" si="1"/>
        <v>chair</v>
      </c>
      <c r="N35">
        <f t="shared" si="2"/>
        <v>5</v>
      </c>
    </row>
    <row r="36" spans="1:14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t="str">
        <f t="shared" si="0"/>
        <v>AJAY</v>
      </c>
      <c r="M36" t="str">
        <f t="shared" si="1"/>
        <v>cabinet</v>
      </c>
      <c r="N36">
        <f t="shared" si="2"/>
        <v>7</v>
      </c>
    </row>
    <row r="37" spans="1:14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t="str">
        <f t="shared" si="0"/>
        <v>RITESH</v>
      </c>
      <c r="M37" t="str">
        <f t="shared" si="1"/>
        <v>stapler</v>
      </c>
      <c r="N37">
        <f t="shared" si="2"/>
        <v>7</v>
      </c>
    </row>
    <row r="38" spans="1:14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t="str">
        <f t="shared" si="0"/>
        <v>KIRAN</v>
      </c>
      <c r="M38" t="str">
        <f t="shared" si="1"/>
        <v>cabinet</v>
      </c>
      <c r="N38">
        <f t="shared" si="2"/>
        <v>7</v>
      </c>
    </row>
    <row r="39" spans="1:14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t="str">
        <f t="shared" si="0"/>
        <v>SNEHA</v>
      </c>
      <c r="M39" t="str">
        <f t="shared" si="1"/>
        <v>stapler</v>
      </c>
      <c r="N39">
        <f t="shared" si="2"/>
        <v>7</v>
      </c>
    </row>
    <row r="40" spans="1:14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t="str">
        <f t="shared" si="0"/>
        <v>NITIN</v>
      </c>
      <c r="M40" t="str">
        <f t="shared" si="1"/>
        <v>monitor</v>
      </c>
      <c r="N40">
        <f t="shared" si="2"/>
        <v>7</v>
      </c>
    </row>
    <row r="41" spans="1:14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t="str">
        <f t="shared" si="0"/>
        <v>AJAY</v>
      </c>
      <c r="M41" t="str">
        <f t="shared" si="1"/>
        <v>chair</v>
      </c>
      <c r="N41">
        <f t="shared" si="2"/>
        <v>5</v>
      </c>
    </row>
    <row r="42" spans="1:14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t="str">
        <f t="shared" si="0"/>
        <v>MANOJ</v>
      </c>
      <c r="M42" t="str">
        <f t="shared" si="1"/>
        <v>marker</v>
      </c>
      <c r="N42">
        <f t="shared" si="2"/>
        <v>6</v>
      </c>
    </row>
    <row r="43" spans="1:14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t="str">
        <f t="shared" si="0"/>
        <v>KIRAN</v>
      </c>
      <c r="M43" t="str">
        <f t="shared" si="1"/>
        <v>diary</v>
      </c>
      <c r="N43">
        <f t="shared" si="2"/>
        <v>5</v>
      </c>
    </row>
    <row r="44" spans="1:14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t="str">
        <f t="shared" si="0"/>
        <v>AJAY</v>
      </c>
      <c r="M44" t="str">
        <f t="shared" si="1"/>
        <v>printer</v>
      </c>
      <c r="N44">
        <f t="shared" si="2"/>
        <v>7</v>
      </c>
    </row>
    <row r="45" spans="1:14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t="str">
        <f t="shared" si="0"/>
        <v>NITIN</v>
      </c>
      <c r="M45" t="str">
        <f t="shared" si="1"/>
        <v>desk</v>
      </c>
      <c r="N45">
        <f t="shared" si="2"/>
        <v>4</v>
      </c>
    </row>
    <row r="46" spans="1:14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t="str">
        <f t="shared" si="0"/>
        <v>ASHA</v>
      </c>
      <c r="M46" t="str">
        <f t="shared" si="1"/>
        <v>printer</v>
      </c>
      <c r="N46">
        <f t="shared" si="2"/>
        <v>7</v>
      </c>
    </row>
    <row r="47" spans="1:14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t="str">
        <f t="shared" si="0"/>
        <v>SARA</v>
      </c>
      <c r="M47" t="str">
        <f t="shared" si="1"/>
        <v>monitor</v>
      </c>
      <c r="N47">
        <f t="shared" si="2"/>
        <v>7</v>
      </c>
    </row>
    <row r="48" spans="1:14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t="str">
        <f t="shared" si="0"/>
        <v>ROHAN</v>
      </c>
      <c r="M48" t="str">
        <f t="shared" si="1"/>
        <v>cabinet</v>
      </c>
      <c r="N48">
        <f t="shared" si="2"/>
        <v>7</v>
      </c>
    </row>
    <row r="49" spans="1:14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t="str">
        <f t="shared" si="0"/>
        <v>ANITA</v>
      </c>
      <c r="M49" t="str">
        <f t="shared" si="1"/>
        <v>laptop</v>
      </c>
      <c r="N49">
        <f t="shared" si="2"/>
        <v>6</v>
      </c>
    </row>
    <row r="50" spans="1:14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t="str">
        <f t="shared" si="0"/>
        <v>KOMAL</v>
      </c>
      <c r="M50" t="str">
        <f t="shared" si="1"/>
        <v>monitor</v>
      </c>
      <c r="N50">
        <f t="shared" si="2"/>
        <v>7</v>
      </c>
    </row>
    <row r="51" spans="1:14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t="str">
        <f t="shared" si="0"/>
        <v>ASHA</v>
      </c>
      <c r="M51" t="str">
        <f t="shared" si="1"/>
        <v>diary</v>
      </c>
      <c r="N51">
        <f t="shared" si="2"/>
        <v>5</v>
      </c>
    </row>
    <row r="52" spans="1:14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t="str">
        <f t="shared" si="0"/>
        <v>ROHAN</v>
      </c>
      <c r="M52" t="str">
        <f t="shared" si="1"/>
        <v>stapler</v>
      </c>
      <c r="N52">
        <f t="shared" si="2"/>
        <v>7</v>
      </c>
    </row>
    <row r="53" spans="1:14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t="str">
        <f t="shared" si="0"/>
        <v>SNEHA</v>
      </c>
      <c r="M53" t="str">
        <f t="shared" si="1"/>
        <v>notebook</v>
      </c>
      <c r="N53">
        <f t="shared" si="2"/>
        <v>8</v>
      </c>
    </row>
    <row r="54" spans="1:14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t="str">
        <f t="shared" si="0"/>
        <v>POOJA</v>
      </c>
      <c r="M54" t="str">
        <f t="shared" si="1"/>
        <v>chair</v>
      </c>
      <c r="N54">
        <f t="shared" si="2"/>
        <v>5</v>
      </c>
    </row>
    <row r="55" spans="1:14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t="str">
        <f t="shared" si="0"/>
        <v>VIKRAM</v>
      </c>
      <c r="M55" t="str">
        <f t="shared" si="1"/>
        <v>table</v>
      </c>
      <c r="N55">
        <f t="shared" si="2"/>
        <v>5</v>
      </c>
    </row>
    <row r="56" spans="1:14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t="str">
        <f t="shared" si="0"/>
        <v>NITIN</v>
      </c>
      <c r="M56" t="str">
        <f t="shared" si="1"/>
        <v>pen pack</v>
      </c>
      <c r="N56">
        <f t="shared" si="2"/>
        <v>8</v>
      </c>
    </row>
    <row r="57" spans="1:14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t="str">
        <f t="shared" si="0"/>
        <v>RITESH</v>
      </c>
      <c r="M57" t="str">
        <f t="shared" si="1"/>
        <v>desk</v>
      </c>
      <c r="N57">
        <f t="shared" si="2"/>
        <v>4</v>
      </c>
    </row>
    <row r="58" spans="1:14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t="str">
        <f t="shared" si="0"/>
        <v>ANITA</v>
      </c>
      <c r="M58" t="str">
        <f t="shared" si="1"/>
        <v>chair</v>
      </c>
      <c r="N58">
        <f t="shared" si="2"/>
        <v>5</v>
      </c>
    </row>
    <row r="59" spans="1:14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t="str">
        <f t="shared" si="0"/>
        <v>KOMAL</v>
      </c>
      <c r="M59" t="str">
        <f t="shared" si="1"/>
        <v>chair</v>
      </c>
      <c r="N59">
        <f t="shared" si="2"/>
        <v>5</v>
      </c>
    </row>
    <row r="60" spans="1:14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t="str">
        <f t="shared" si="0"/>
        <v>MANOJ</v>
      </c>
      <c r="M60" t="str">
        <f t="shared" si="1"/>
        <v>marker</v>
      </c>
      <c r="N60">
        <f t="shared" si="2"/>
        <v>6</v>
      </c>
    </row>
    <row r="61" spans="1:14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t="str">
        <f t="shared" si="0"/>
        <v>AJAY</v>
      </c>
      <c r="M61" t="str">
        <f t="shared" si="1"/>
        <v>bookshelf</v>
      </c>
      <c r="N61">
        <f t="shared" si="2"/>
        <v>9</v>
      </c>
    </row>
    <row r="62" spans="1:14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t="str">
        <f t="shared" si="0"/>
        <v>SARA</v>
      </c>
      <c r="M62" t="str">
        <f t="shared" si="1"/>
        <v>headset</v>
      </c>
      <c r="N62">
        <f t="shared" si="2"/>
        <v>7</v>
      </c>
    </row>
    <row r="63" spans="1:14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t="str">
        <f t="shared" si="0"/>
        <v>DEEPAK</v>
      </c>
      <c r="M63" t="str">
        <f t="shared" si="1"/>
        <v>table</v>
      </c>
      <c r="N63">
        <f t="shared" si="2"/>
        <v>5</v>
      </c>
    </row>
    <row r="64" spans="1:14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t="str">
        <f t="shared" si="0"/>
        <v>MANOJ</v>
      </c>
      <c r="M64" t="str">
        <f t="shared" si="1"/>
        <v>monitor</v>
      </c>
      <c r="N64">
        <f t="shared" si="2"/>
        <v>7</v>
      </c>
    </row>
    <row r="65" spans="1:14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t="str">
        <f t="shared" si="0"/>
        <v>VIKRAM</v>
      </c>
      <c r="M65" t="str">
        <f t="shared" si="1"/>
        <v>marker</v>
      </c>
      <c r="N65">
        <f t="shared" si="2"/>
        <v>6</v>
      </c>
    </row>
    <row r="66" spans="1:14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t="str">
        <f t="shared" si="0"/>
        <v>NISHA</v>
      </c>
      <c r="M66" t="str">
        <f t="shared" si="1"/>
        <v>bookshelf</v>
      </c>
      <c r="N66">
        <f t="shared" si="2"/>
        <v>9</v>
      </c>
    </row>
    <row r="67" spans="1:14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t="str">
        <f t="shared" ref="L67:L130" si="3">UPPER(B67)</f>
        <v>YASH</v>
      </c>
      <c r="M67" t="str">
        <f t="shared" ref="M67:M130" si="4">LOWER(E67)</f>
        <v>bookshelf</v>
      </c>
      <c r="N67">
        <f t="shared" ref="N67:N130" si="5">LEN(E67)</f>
        <v>9</v>
      </c>
    </row>
    <row r="68" spans="1:14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t="str">
        <f t="shared" si="3"/>
        <v>ASHA</v>
      </c>
      <c r="M68" t="str">
        <f t="shared" si="4"/>
        <v>cabinet</v>
      </c>
      <c r="N68">
        <f t="shared" si="5"/>
        <v>7</v>
      </c>
    </row>
    <row r="69" spans="1:14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t="str">
        <f t="shared" si="3"/>
        <v>KOMAL</v>
      </c>
      <c r="M69" t="str">
        <f t="shared" si="4"/>
        <v>laptop</v>
      </c>
      <c r="N69">
        <f t="shared" si="5"/>
        <v>6</v>
      </c>
    </row>
    <row r="70" spans="1:14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t="str">
        <f t="shared" si="3"/>
        <v>KOMAL</v>
      </c>
      <c r="M70" t="str">
        <f t="shared" si="4"/>
        <v>chair</v>
      </c>
      <c r="N70">
        <f t="shared" si="5"/>
        <v>5</v>
      </c>
    </row>
    <row r="71" spans="1:14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t="str">
        <f t="shared" si="3"/>
        <v>KOMAL</v>
      </c>
      <c r="M71" t="str">
        <f t="shared" si="4"/>
        <v>stapler</v>
      </c>
      <c r="N71">
        <f t="shared" si="5"/>
        <v>7</v>
      </c>
    </row>
    <row r="72" spans="1:14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t="str">
        <f t="shared" si="3"/>
        <v>ANITA</v>
      </c>
      <c r="M72" t="str">
        <f t="shared" si="4"/>
        <v>mouse</v>
      </c>
      <c r="N72">
        <f t="shared" si="5"/>
        <v>5</v>
      </c>
    </row>
    <row r="73" spans="1:14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t="str">
        <f t="shared" si="3"/>
        <v>POOJA</v>
      </c>
      <c r="M73" t="str">
        <f t="shared" si="4"/>
        <v>mouse</v>
      </c>
      <c r="N73">
        <f t="shared" si="5"/>
        <v>5</v>
      </c>
    </row>
    <row r="74" spans="1:14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t="str">
        <f t="shared" si="3"/>
        <v>ROHAN</v>
      </c>
      <c r="M74" t="str">
        <f t="shared" si="4"/>
        <v>cabinet</v>
      </c>
      <c r="N74">
        <f t="shared" si="5"/>
        <v>7</v>
      </c>
    </row>
    <row r="75" spans="1:14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t="str">
        <f t="shared" si="3"/>
        <v>VIKRAM</v>
      </c>
      <c r="M75" t="str">
        <f t="shared" si="4"/>
        <v>marker</v>
      </c>
      <c r="N75">
        <f t="shared" si="5"/>
        <v>6</v>
      </c>
    </row>
    <row r="76" spans="1:14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t="str">
        <f t="shared" si="3"/>
        <v>NISHA</v>
      </c>
      <c r="M76" t="str">
        <f t="shared" si="4"/>
        <v>mouse</v>
      </c>
      <c r="N76">
        <f t="shared" si="5"/>
        <v>5</v>
      </c>
    </row>
    <row r="77" spans="1:14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t="str">
        <f t="shared" si="3"/>
        <v>PRIYA</v>
      </c>
      <c r="M77" t="str">
        <f t="shared" si="4"/>
        <v>printer</v>
      </c>
      <c r="N77">
        <f t="shared" si="5"/>
        <v>7</v>
      </c>
    </row>
    <row r="78" spans="1:14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t="str">
        <f t="shared" si="3"/>
        <v>SNEHA</v>
      </c>
      <c r="M78" t="str">
        <f t="shared" si="4"/>
        <v>notebook</v>
      </c>
      <c r="N78">
        <f t="shared" si="5"/>
        <v>8</v>
      </c>
    </row>
    <row r="79" spans="1:14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t="str">
        <f t="shared" si="3"/>
        <v>KOMAL</v>
      </c>
      <c r="M79" t="str">
        <f t="shared" si="4"/>
        <v>keyboard</v>
      </c>
      <c r="N79">
        <f t="shared" si="5"/>
        <v>8</v>
      </c>
    </row>
    <row r="80" spans="1:14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t="str">
        <f t="shared" si="3"/>
        <v>VIKRAM</v>
      </c>
      <c r="M80" t="str">
        <f t="shared" si="4"/>
        <v>headset</v>
      </c>
      <c r="N80">
        <f t="shared" si="5"/>
        <v>7</v>
      </c>
    </row>
    <row r="81" spans="1:14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t="str">
        <f t="shared" si="3"/>
        <v>MEERA</v>
      </c>
      <c r="M81" t="str">
        <f t="shared" si="4"/>
        <v>headset</v>
      </c>
      <c r="N81">
        <f t="shared" si="5"/>
        <v>7</v>
      </c>
    </row>
    <row r="82" spans="1:14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t="str">
        <f t="shared" si="3"/>
        <v>YASH</v>
      </c>
      <c r="M82" t="str">
        <f t="shared" si="4"/>
        <v>printer</v>
      </c>
      <c r="N82">
        <f t="shared" si="5"/>
        <v>7</v>
      </c>
    </row>
    <row r="83" spans="1:14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t="str">
        <f t="shared" si="3"/>
        <v>MEERA</v>
      </c>
      <c r="M83" t="str">
        <f t="shared" si="4"/>
        <v>notebook</v>
      </c>
      <c r="N83">
        <f t="shared" si="5"/>
        <v>8</v>
      </c>
    </row>
    <row r="84" spans="1:14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t="str">
        <f t="shared" si="3"/>
        <v>SNEHA</v>
      </c>
      <c r="M84" t="str">
        <f t="shared" si="4"/>
        <v>diary</v>
      </c>
      <c r="N84">
        <f t="shared" si="5"/>
        <v>5</v>
      </c>
    </row>
    <row r="85" spans="1:14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t="str">
        <f t="shared" si="3"/>
        <v>AJAY</v>
      </c>
      <c r="M85" t="str">
        <f t="shared" si="4"/>
        <v>chair</v>
      </c>
      <c r="N85">
        <f t="shared" si="5"/>
        <v>5</v>
      </c>
    </row>
    <row r="86" spans="1:14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t="str">
        <f t="shared" si="3"/>
        <v>ASHA</v>
      </c>
      <c r="M86" t="str">
        <f t="shared" si="4"/>
        <v>laptop</v>
      </c>
      <c r="N86">
        <f t="shared" si="5"/>
        <v>6</v>
      </c>
    </row>
    <row r="87" spans="1:14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t="str">
        <f t="shared" si="3"/>
        <v>ASHA</v>
      </c>
      <c r="M87" t="str">
        <f t="shared" si="4"/>
        <v>diary</v>
      </c>
      <c r="N87">
        <f t="shared" si="5"/>
        <v>5</v>
      </c>
    </row>
    <row r="88" spans="1:14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t="str">
        <f t="shared" si="3"/>
        <v>RITESH</v>
      </c>
      <c r="M88" t="str">
        <f t="shared" si="4"/>
        <v>pen pack</v>
      </c>
      <c r="N88">
        <f t="shared" si="5"/>
        <v>8</v>
      </c>
    </row>
    <row r="89" spans="1:14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t="str">
        <f t="shared" si="3"/>
        <v>DEEPAK</v>
      </c>
      <c r="M89" t="str">
        <f t="shared" si="4"/>
        <v>headset</v>
      </c>
      <c r="N89">
        <f t="shared" si="5"/>
        <v>7</v>
      </c>
    </row>
    <row r="90" spans="1:14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t="str">
        <f t="shared" si="3"/>
        <v>KIRAN</v>
      </c>
      <c r="M90" t="str">
        <f t="shared" si="4"/>
        <v>printer</v>
      </c>
      <c r="N90">
        <f t="shared" si="5"/>
        <v>7</v>
      </c>
    </row>
    <row r="91" spans="1:14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t="str">
        <f t="shared" si="3"/>
        <v>AJAY</v>
      </c>
      <c r="M91" t="str">
        <f t="shared" si="4"/>
        <v>monitor</v>
      </c>
      <c r="N91">
        <f t="shared" si="5"/>
        <v>7</v>
      </c>
    </row>
    <row r="92" spans="1:14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t="str">
        <f t="shared" si="3"/>
        <v>SNEHA</v>
      </c>
      <c r="M92" t="str">
        <f t="shared" si="4"/>
        <v>diary</v>
      </c>
      <c r="N92">
        <f t="shared" si="5"/>
        <v>5</v>
      </c>
    </row>
    <row r="93" spans="1:14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t="str">
        <f t="shared" si="3"/>
        <v>MEERA</v>
      </c>
      <c r="M93" t="str">
        <f t="shared" si="4"/>
        <v>headset</v>
      </c>
      <c r="N93">
        <f t="shared" si="5"/>
        <v>7</v>
      </c>
    </row>
    <row r="94" spans="1:14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t="str">
        <f t="shared" si="3"/>
        <v>YASH</v>
      </c>
      <c r="M94" t="str">
        <f t="shared" si="4"/>
        <v>table</v>
      </c>
      <c r="N94">
        <f t="shared" si="5"/>
        <v>5</v>
      </c>
    </row>
    <row r="95" spans="1:14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t="str">
        <f t="shared" si="3"/>
        <v>YASH</v>
      </c>
      <c r="M95" t="str">
        <f t="shared" si="4"/>
        <v>mouse</v>
      </c>
      <c r="N95">
        <f t="shared" si="5"/>
        <v>5</v>
      </c>
    </row>
    <row r="96" spans="1:14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t="str">
        <f t="shared" si="3"/>
        <v>YASH</v>
      </c>
      <c r="M96" t="str">
        <f t="shared" si="4"/>
        <v>headset</v>
      </c>
      <c r="N96">
        <f t="shared" si="5"/>
        <v>7</v>
      </c>
    </row>
    <row r="97" spans="1:14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t="str">
        <f t="shared" si="3"/>
        <v>AJAY</v>
      </c>
      <c r="M97" t="str">
        <f t="shared" si="4"/>
        <v>table</v>
      </c>
      <c r="N97">
        <f t="shared" si="5"/>
        <v>5</v>
      </c>
    </row>
    <row r="98" spans="1:14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t="str">
        <f t="shared" si="3"/>
        <v>KOMAL</v>
      </c>
      <c r="M98" t="str">
        <f t="shared" si="4"/>
        <v>mouse</v>
      </c>
      <c r="N98">
        <f t="shared" si="5"/>
        <v>5</v>
      </c>
    </row>
    <row r="99" spans="1:14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t="str">
        <f t="shared" si="3"/>
        <v>VIKRAM</v>
      </c>
      <c r="M99" t="str">
        <f t="shared" si="4"/>
        <v>diary</v>
      </c>
      <c r="N99">
        <f t="shared" si="5"/>
        <v>5</v>
      </c>
    </row>
    <row r="100" spans="1:14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t="str">
        <f t="shared" si="3"/>
        <v>VIKRAM</v>
      </c>
      <c r="M100" t="str">
        <f t="shared" si="4"/>
        <v>desk</v>
      </c>
      <c r="N100">
        <f t="shared" si="5"/>
        <v>4</v>
      </c>
    </row>
    <row r="101" spans="1:14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t="str">
        <f t="shared" si="3"/>
        <v>RITESH</v>
      </c>
      <c r="M101" t="str">
        <f t="shared" si="4"/>
        <v>notebook</v>
      </c>
      <c r="N101">
        <f t="shared" si="5"/>
        <v>8</v>
      </c>
    </row>
    <row r="102" spans="1:14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t="str">
        <f t="shared" si="3"/>
        <v>ARJUN</v>
      </c>
      <c r="M102" t="str">
        <f t="shared" si="4"/>
        <v>mouse</v>
      </c>
      <c r="N102">
        <f t="shared" si="5"/>
        <v>5</v>
      </c>
    </row>
    <row r="103" spans="1:14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t="str">
        <f t="shared" si="3"/>
        <v>MANOJ</v>
      </c>
      <c r="M103" t="str">
        <f t="shared" si="4"/>
        <v>monitor</v>
      </c>
      <c r="N103">
        <f t="shared" si="5"/>
        <v>7</v>
      </c>
    </row>
    <row r="104" spans="1:14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t="str">
        <f t="shared" si="3"/>
        <v>POOJA</v>
      </c>
      <c r="M104" t="str">
        <f t="shared" si="4"/>
        <v>table</v>
      </c>
      <c r="N104">
        <f t="shared" si="5"/>
        <v>5</v>
      </c>
    </row>
    <row r="105" spans="1:14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t="str">
        <f t="shared" si="3"/>
        <v>POOJA</v>
      </c>
      <c r="M105" t="str">
        <f t="shared" si="4"/>
        <v>desk</v>
      </c>
      <c r="N105">
        <f t="shared" si="5"/>
        <v>4</v>
      </c>
    </row>
    <row r="106" spans="1:14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t="str">
        <f t="shared" si="3"/>
        <v>ANITA</v>
      </c>
      <c r="M106" t="str">
        <f t="shared" si="4"/>
        <v>marker</v>
      </c>
      <c r="N106">
        <f t="shared" si="5"/>
        <v>6</v>
      </c>
    </row>
    <row r="107" spans="1:14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t="str">
        <f t="shared" si="3"/>
        <v>ARJUN</v>
      </c>
      <c r="M107" t="str">
        <f t="shared" si="4"/>
        <v>table</v>
      </c>
      <c r="N107">
        <f t="shared" si="5"/>
        <v>5</v>
      </c>
    </row>
    <row r="108" spans="1:14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t="str">
        <f t="shared" si="3"/>
        <v>KOMAL</v>
      </c>
      <c r="M108" t="str">
        <f t="shared" si="4"/>
        <v>laptop</v>
      </c>
      <c r="N108">
        <f t="shared" si="5"/>
        <v>6</v>
      </c>
    </row>
    <row r="109" spans="1:14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t="str">
        <f t="shared" si="3"/>
        <v>NISHA</v>
      </c>
      <c r="M109" t="str">
        <f t="shared" si="4"/>
        <v>chair</v>
      </c>
      <c r="N109">
        <f t="shared" si="5"/>
        <v>5</v>
      </c>
    </row>
    <row r="110" spans="1:14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t="str">
        <f t="shared" si="3"/>
        <v>MEERA</v>
      </c>
      <c r="M110" t="str">
        <f t="shared" si="4"/>
        <v>bookshelf</v>
      </c>
      <c r="N110">
        <f t="shared" si="5"/>
        <v>9</v>
      </c>
    </row>
    <row r="111" spans="1:14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t="str">
        <f t="shared" si="3"/>
        <v>AJAY</v>
      </c>
      <c r="M111" t="str">
        <f t="shared" si="4"/>
        <v>table</v>
      </c>
      <c r="N111">
        <f t="shared" si="5"/>
        <v>5</v>
      </c>
    </row>
    <row r="112" spans="1:14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t="str">
        <f t="shared" si="3"/>
        <v>YASH</v>
      </c>
      <c r="M112" t="str">
        <f t="shared" si="4"/>
        <v>printer</v>
      </c>
      <c r="N112">
        <f t="shared" si="5"/>
        <v>7</v>
      </c>
    </row>
    <row r="113" spans="1:14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t="str">
        <f t="shared" si="3"/>
        <v>MEERA</v>
      </c>
      <c r="M113" t="str">
        <f t="shared" si="4"/>
        <v>bookshelf</v>
      </c>
      <c r="N113">
        <f t="shared" si="5"/>
        <v>9</v>
      </c>
    </row>
    <row r="114" spans="1:14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t="str">
        <f t="shared" si="3"/>
        <v>VIKRAM</v>
      </c>
      <c r="M114" t="str">
        <f t="shared" si="4"/>
        <v>cabinet</v>
      </c>
      <c r="N114">
        <f t="shared" si="5"/>
        <v>7</v>
      </c>
    </row>
    <row r="115" spans="1:14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t="str">
        <f t="shared" si="3"/>
        <v>POOJA</v>
      </c>
      <c r="M115" t="str">
        <f t="shared" si="4"/>
        <v>marker</v>
      </c>
      <c r="N115">
        <f t="shared" si="5"/>
        <v>6</v>
      </c>
    </row>
    <row r="116" spans="1:14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t="str">
        <f t="shared" si="3"/>
        <v>ANITA</v>
      </c>
      <c r="M116" t="str">
        <f t="shared" si="4"/>
        <v>marker</v>
      </c>
      <c r="N116">
        <f t="shared" si="5"/>
        <v>6</v>
      </c>
    </row>
    <row r="117" spans="1:14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t="str">
        <f t="shared" si="3"/>
        <v>POOJA</v>
      </c>
      <c r="M117" t="str">
        <f t="shared" si="4"/>
        <v>cabinet</v>
      </c>
      <c r="N117">
        <f t="shared" si="5"/>
        <v>7</v>
      </c>
    </row>
    <row r="118" spans="1:14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t="str">
        <f t="shared" si="3"/>
        <v>SNEHA</v>
      </c>
      <c r="M118" t="str">
        <f t="shared" si="4"/>
        <v>keyboard</v>
      </c>
      <c r="N118">
        <f t="shared" si="5"/>
        <v>8</v>
      </c>
    </row>
    <row r="119" spans="1:14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t="str">
        <f t="shared" si="3"/>
        <v>MEERA</v>
      </c>
      <c r="M119" t="str">
        <f t="shared" si="4"/>
        <v>table</v>
      </c>
      <c r="N119">
        <f t="shared" si="5"/>
        <v>5</v>
      </c>
    </row>
    <row r="120" spans="1:14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t="str">
        <f t="shared" si="3"/>
        <v>NEHA</v>
      </c>
      <c r="M120" t="str">
        <f t="shared" si="4"/>
        <v>chair</v>
      </c>
      <c r="N120">
        <f t="shared" si="5"/>
        <v>5</v>
      </c>
    </row>
    <row r="121" spans="1:14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t="str">
        <f t="shared" si="3"/>
        <v>ASHA</v>
      </c>
      <c r="M121" t="str">
        <f t="shared" si="4"/>
        <v>stapler</v>
      </c>
      <c r="N121">
        <f t="shared" si="5"/>
        <v>7</v>
      </c>
    </row>
    <row r="122" spans="1:14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t="str">
        <f t="shared" si="3"/>
        <v>PRIYA</v>
      </c>
      <c r="M122" t="str">
        <f t="shared" si="4"/>
        <v>keyboard</v>
      </c>
      <c r="N122">
        <f t="shared" si="5"/>
        <v>8</v>
      </c>
    </row>
    <row r="123" spans="1:14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t="str">
        <f t="shared" si="3"/>
        <v>DEEPAK</v>
      </c>
      <c r="M123" t="str">
        <f t="shared" si="4"/>
        <v>keyboard</v>
      </c>
      <c r="N123">
        <f t="shared" si="5"/>
        <v>8</v>
      </c>
    </row>
    <row r="124" spans="1:14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t="str">
        <f t="shared" si="3"/>
        <v>ASHA</v>
      </c>
      <c r="M124" t="str">
        <f t="shared" si="4"/>
        <v>monitor</v>
      </c>
      <c r="N124">
        <f t="shared" si="5"/>
        <v>7</v>
      </c>
    </row>
    <row r="125" spans="1:14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t="str">
        <f t="shared" si="3"/>
        <v>ARJUN</v>
      </c>
      <c r="M125" t="str">
        <f t="shared" si="4"/>
        <v>cabinet</v>
      </c>
      <c r="N125">
        <f t="shared" si="5"/>
        <v>7</v>
      </c>
    </row>
    <row r="126" spans="1:14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t="str">
        <f t="shared" si="3"/>
        <v>AJAY</v>
      </c>
      <c r="M126" t="str">
        <f t="shared" si="4"/>
        <v>notebook</v>
      </c>
      <c r="N126">
        <f t="shared" si="5"/>
        <v>8</v>
      </c>
    </row>
    <row r="127" spans="1:14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t="str">
        <f t="shared" si="3"/>
        <v>KIRAN</v>
      </c>
      <c r="M127" t="str">
        <f t="shared" si="4"/>
        <v>keyboard</v>
      </c>
      <c r="N127">
        <f t="shared" si="5"/>
        <v>8</v>
      </c>
    </row>
    <row r="128" spans="1:14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t="str">
        <f t="shared" si="3"/>
        <v>VIKRAM</v>
      </c>
      <c r="M128" t="str">
        <f t="shared" si="4"/>
        <v>chair</v>
      </c>
      <c r="N128">
        <f t="shared" si="5"/>
        <v>5</v>
      </c>
    </row>
    <row r="129" spans="1:14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t="str">
        <f t="shared" si="3"/>
        <v>NEHA</v>
      </c>
      <c r="M129" t="str">
        <f t="shared" si="4"/>
        <v>mouse</v>
      </c>
      <c r="N129">
        <f t="shared" si="5"/>
        <v>5</v>
      </c>
    </row>
    <row r="130" spans="1:14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t="str">
        <f t="shared" si="3"/>
        <v>ROHAN</v>
      </c>
      <c r="M130" t="str">
        <f t="shared" si="4"/>
        <v>marker</v>
      </c>
      <c r="N130">
        <f t="shared" si="5"/>
        <v>6</v>
      </c>
    </row>
    <row r="131" spans="1:14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t="str">
        <f t="shared" ref="L131:L194" si="6">UPPER(B131)</f>
        <v>NITIN</v>
      </c>
      <c r="M131" t="str">
        <f t="shared" ref="M131:M194" si="7">LOWER(E131)</f>
        <v>notebook</v>
      </c>
      <c r="N131">
        <f t="shared" ref="N131:N194" si="8">LEN(E131)</f>
        <v>8</v>
      </c>
    </row>
    <row r="132" spans="1:14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t="str">
        <f t="shared" si="6"/>
        <v>MEERA</v>
      </c>
      <c r="M132" t="str">
        <f t="shared" si="7"/>
        <v>table</v>
      </c>
      <c r="N132">
        <f t="shared" si="8"/>
        <v>5</v>
      </c>
    </row>
    <row r="133" spans="1:14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t="str">
        <f t="shared" si="6"/>
        <v>RITESH</v>
      </c>
      <c r="M133" t="str">
        <f t="shared" si="7"/>
        <v>marker</v>
      </c>
      <c r="N133">
        <f t="shared" si="8"/>
        <v>6</v>
      </c>
    </row>
    <row r="134" spans="1:14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t="str">
        <f t="shared" si="6"/>
        <v>RITESH</v>
      </c>
      <c r="M134" t="str">
        <f t="shared" si="7"/>
        <v>cabinet</v>
      </c>
      <c r="N134">
        <f t="shared" si="8"/>
        <v>7</v>
      </c>
    </row>
    <row r="135" spans="1:14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t="str">
        <f t="shared" si="6"/>
        <v>SARA</v>
      </c>
      <c r="M135" t="str">
        <f t="shared" si="7"/>
        <v>mouse</v>
      </c>
      <c r="N135">
        <f t="shared" si="8"/>
        <v>5</v>
      </c>
    </row>
    <row r="136" spans="1:14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t="str">
        <f t="shared" si="6"/>
        <v>AJAY</v>
      </c>
      <c r="M136" t="str">
        <f t="shared" si="7"/>
        <v>keyboard</v>
      </c>
      <c r="N136">
        <f t="shared" si="8"/>
        <v>8</v>
      </c>
    </row>
    <row r="137" spans="1:14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t="str">
        <f t="shared" si="6"/>
        <v>ARJUN</v>
      </c>
      <c r="M137" t="str">
        <f t="shared" si="7"/>
        <v>cabinet</v>
      </c>
      <c r="N137">
        <f t="shared" si="8"/>
        <v>7</v>
      </c>
    </row>
    <row r="138" spans="1:14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t="str">
        <f t="shared" si="6"/>
        <v>KOMAL</v>
      </c>
      <c r="M138" t="str">
        <f t="shared" si="7"/>
        <v>pen pack</v>
      </c>
      <c r="N138">
        <f t="shared" si="8"/>
        <v>8</v>
      </c>
    </row>
    <row r="139" spans="1:14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t="str">
        <f t="shared" si="6"/>
        <v>SNEHA</v>
      </c>
      <c r="M139" t="str">
        <f t="shared" si="7"/>
        <v>desk</v>
      </c>
      <c r="N139">
        <f t="shared" si="8"/>
        <v>4</v>
      </c>
    </row>
    <row r="140" spans="1:14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t="str">
        <f t="shared" si="6"/>
        <v>SNEHA</v>
      </c>
      <c r="M140" t="str">
        <f t="shared" si="7"/>
        <v>mouse</v>
      </c>
      <c r="N140">
        <f t="shared" si="8"/>
        <v>5</v>
      </c>
    </row>
    <row r="141" spans="1:14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t="str">
        <f t="shared" si="6"/>
        <v>SARA</v>
      </c>
      <c r="M141" t="str">
        <f t="shared" si="7"/>
        <v>headset</v>
      </c>
      <c r="N141">
        <f t="shared" si="8"/>
        <v>7</v>
      </c>
    </row>
    <row r="142" spans="1:14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t="str">
        <f t="shared" si="6"/>
        <v>RITESH</v>
      </c>
      <c r="M142" t="str">
        <f t="shared" si="7"/>
        <v>bookshelf</v>
      </c>
      <c r="N142">
        <f t="shared" si="8"/>
        <v>9</v>
      </c>
    </row>
    <row r="143" spans="1:14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t="str">
        <f t="shared" si="6"/>
        <v>DEEPAK</v>
      </c>
      <c r="M143" t="str">
        <f t="shared" si="7"/>
        <v>laptop</v>
      </c>
      <c r="N143">
        <f t="shared" si="8"/>
        <v>6</v>
      </c>
    </row>
    <row r="144" spans="1:14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t="str">
        <f t="shared" si="6"/>
        <v>PRIYA</v>
      </c>
      <c r="M144" t="str">
        <f t="shared" si="7"/>
        <v>pen pack</v>
      </c>
      <c r="N144">
        <f t="shared" si="8"/>
        <v>8</v>
      </c>
    </row>
    <row r="145" spans="1:14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t="str">
        <f t="shared" si="6"/>
        <v>NISHA</v>
      </c>
      <c r="M145" t="str">
        <f t="shared" si="7"/>
        <v>notebook</v>
      </c>
      <c r="N145">
        <f t="shared" si="8"/>
        <v>8</v>
      </c>
    </row>
    <row r="146" spans="1:14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t="str">
        <f t="shared" si="6"/>
        <v>NISHA</v>
      </c>
      <c r="M146" t="str">
        <f t="shared" si="7"/>
        <v>keyboard</v>
      </c>
      <c r="N146">
        <f t="shared" si="8"/>
        <v>8</v>
      </c>
    </row>
    <row r="147" spans="1:14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t="str">
        <f t="shared" si="6"/>
        <v>POOJA</v>
      </c>
      <c r="M147" t="str">
        <f t="shared" si="7"/>
        <v>monitor</v>
      </c>
      <c r="N147">
        <f t="shared" si="8"/>
        <v>7</v>
      </c>
    </row>
    <row r="148" spans="1:14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t="str">
        <f t="shared" si="6"/>
        <v>RITESH</v>
      </c>
      <c r="M148" t="str">
        <f t="shared" si="7"/>
        <v>chair</v>
      </c>
      <c r="N148">
        <f t="shared" si="8"/>
        <v>5</v>
      </c>
    </row>
    <row r="149" spans="1:14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t="str">
        <f t="shared" si="6"/>
        <v>ANITA</v>
      </c>
      <c r="M149" t="str">
        <f t="shared" si="7"/>
        <v>chair</v>
      </c>
      <c r="N149">
        <f t="shared" si="8"/>
        <v>5</v>
      </c>
    </row>
    <row r="150" spans="1:14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t="str">
        <f t="shared" si="6"/>
        <v>VIKRAM</v>
      </c>
      <c r="M150" t="str">
        <f t="shared" si="7"/>
        <v>printer</v>
      </c>
      <c r="N150">
        <f t="shared" si="8"/>
        <v>7</v>
      </c>
    </row>
    <row r="151" spans="1:14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t="str">
        <f t="shared" si="6"/>
        <v>NISHA</v>
      </c>
      <c r="M151" t="str">
        <f t="shared" si="7"/>
        <v>cabinet</v>
      </c>
      <c r="N151">
        <f t="shared" si="8"/>
        <v>7</v>
      </c>
    </row>
    <row r="152" spans="1:14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t="str">
        <f t="shared" si="6"/>
        <v>KIRAN</v>
      </c>
      <c r="M152" t="str">
        <f t="shared" si="7"/>
        <v>marker</v>
      </c>
      <c r="N152">
        <f t="shared" si="8"/>
        <v>6</v>
      </c>
    </row>
    <row r="153" spans="1:14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t="str">
        <f t="shared" si="6"/>
        <v>ARJUN</v>
      </c>
      <c r="M153" t="str">
        <f t="shared" si="7"/>
        <v>mouse</v>
      </c>
      <c r="N153">
        <f t="shared" si="8"/>
        <v>5</v>
      </c>
    </row>
    <row r="154" spans="1:14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t="str">
        <f t="shared" si="6"/>
        <v>NISHA</v>
      </c>
      <c r="M154" t="str">
        <f t="shared" si="7"/>
        <v>table</v>
      </c>
      <c r="N154">
        <f t="shared" si="8"/>
        <v>5</v>
      </c>
    </row>
    <row r="155" spans="1:14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t="str">
        <f t="shared" si="6"/>
        <v>ASHA</v>
      </c>
      <c r="M155" t="str">
        <f t="shared" si="7"/>
        <v>cabinet</v>
      </c>
      <c r="N155">
        <f t="shared" si="8"/>
        <v>7</v>
      </c>
    </row>
    <row r="156" spans="1:14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t="str">
        <f t="shared" si="6"/>
        <v>RITESH</v>
      </c>
      <c r="M156" t="str">
        <f t="shared" si="7"/>
        <v>chair</v>
      </c>
      <c r="N156">
        <f t="shared" si="8"/>
        <v>5</v>
      </c>
    </row>
    <row r="157" spans="1:14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t="str">
        <f t="shared" si="6"/>
        <v>MANOJ</v>
      </c>
      <c r="M157" t="str">
        <f t="shared" si="7"/>
        <v>stapler</v>
      </c>
      <c r="N157">
        <f t="shared" si="8"/>
        <v>7</v>
      </c>
    </row>
    <row r="158" spans="1:14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t="str">
        <f t="shared" si="6"/>
        <v>KOMAL</v>
      </c>
      <c r="M158" t="str">
        <f t="shared" si="7"/>
        <v>marker</v>
      </c>
      <c r="N158">
        <f t="shared" si="8"/>
        <v>6</v>
      </c>
    </row>
    <row r="159" spans="1:14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t="str">
        <f t="shared" si="6"/>
        <v>VIKRAM</v>
      </c>
      <c r="M159" t="str">
        <f t="shared" si="7"/>
        <v>headset</v>
      </c>
      <c r="N159">
        <f t="shared" si="8"/>
        <v>7</v>
      </c>
    </row>
    <row r="160" spans="1:14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t="str">
        <f t="shared" si="6"/>
        <v>ASHA</v>
      </c>
      <c r="M160" t="str">
        <f t="shared" si="7"/>
        <v>chair</v>
      </c>
      <c r="N160">
        <f t="shared" si="8"/>
        <v>5</v>
      </c>
    </row>
    <row r="161" spans="1:14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t="str">
        <f t="shared" si="6"/>
        <v>ANITA</v>
      </c>
      <c r="M161" t="str">
        <f t="shared" si="7"/>
        <v>keyboard</v>
      </c>
      <c r="N161">
        <f t="shared" si="8"/>
        <v>8</v>
      </c>
    </row>
    <row r="162" spans="1:14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t="str">
        <f t="shared" si="6"/>
        <v>ARJUN</v>
      </c>
      <c r="M162" t="str">
        <f t="shared" si="7"/>
        <v>keyboard</v>
      </c>
      <c r="N162">
        <f t="shared" si="8"/>
        <v>8</v>
      </c>
    </row>
    <row r="163" spans="1:14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t="str">
        <f t="shared" si="6"/>
        <v>SARA</v>
      </c>
      <c r="M163" t="str">
        <f t="shared" si="7"/>
        <v>monitor</v>
      </c>
      <c r="N163">
        <f t="shared" si="8"/>
        <v>7</v>
      </c>
    </row>
    <row r="164" spans="1:14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t="str">
        <f t="shared" si="6"/>
        <v>PRIYA</v>
      </c>
      <c r="M164" t="str">
        <f t="shared" si="7"/>
        <v>keyboard</v>
      </c>
      <c r="N164">
        <f t="shared" si="8"/>
        <v>8</v>
      </c>
    </row>
    <row r="165" spans="1:14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t="str">
        <f t="shared" si="6"/>
        <v>DEEPAK</v>
      </c>
      <c r="M165" t="str">
        <f t="shared" si="7"/>
        <v>mouse</v>
      </c>
      <c r="N165">
        <f t="shared" si="8"/>
        <v>5</v>
      </c>
    </row>
    <row r="166" spans="1:14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t="str">
        <f t="shared" si="6"/>
        <v>NITIN</v>
      </c>
      <c r="M166" t="str">
        <f t="shared" si="7"/>
        <v>pen pack</v>
      </c>
      <c r="N166">
        <f t="shared" si="8"/>
        <v>8</v>
      </c>
    </row>
    <row r="167" spans="1:14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t="str">
        <f t="shared" si="6"/>
        <v>ASHA</v>
      </c>
      <c r="M167" t="str">
        <f t="shared" si="7"/>
        <v>pen pack</v>
      </c>
      <c r="N167">
        <f t="shared" si="8"/>
        <v>8</v>
      </c>
    </row>
    <row r="168" spans="1:14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t="str">
        <f t="shared" si="6"/>
        <v>NITIN</v>
      </c>
      <c r="M168" t="str">
        <f t="shared" si="7"/>
        <v>pen pack</v>
      </c>
      <c r="N168">
        <f t="shared" si="8"/>
        <v>8</v>
      </c>
    </row>
    <row r="169" spans="1:14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t="str">
        <f t="shared" si="6"/>
        <v>MANOJ</v>
      </c>
      <c r="M169" t="str">
        <f t="shared" si="7"/>
        <v>pen pack</v>
      </c>
      <c r="N169">
        <f t="shared" si="8"/>
        <v>8</v>
      </c>
    </row>
    <row r="170" spans="1:14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t="str">
        <f t="shared" si="6"/>
        <v>YASH</v>
      </c>
      <c r="M170" t="str">
        <f t="shared" si="7"/>
        <v>cabinet</v>
      </c>
      <c r="N170">
        <f t="shared" si="8"/>
        <v>7</v>
      </c>
    </row>
    <row r="171" spans="1:14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t="str">
        <f t="shared" si="6"/>
        <v>AJAY</v>
      </c>
      <c r="M171" t="str">
        <f t="shared" si="7"/>
        <v>notebook</v>
      </c>
      <c r="N171">
        <f t="shared" si="8"/>
        <v>8</v>
      </c>
    </row>
    <row r="172" spans="1:14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t="str">
        <f t="shared" si="6"/>
        <v>SARA</v>
      </c>
      <c r="M172" t="str">
        <f t="shared" si="7"/>
        <v>marker</v>
      </c>
      <c r="N172">
        <f t="shared" si="8"/>
        <v>6</v>
      </c>
    </row>
    <row r="173" spans="1:14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t="str">
        <f t="shared" si="6"/>
        <v>POOJA</v>
      </c>
      <c r="M173" t="str">
        <f t="shared" si="7"/>
        <v>monitor</v>
      </c>
      <c r="N173">
        <f t="shared" si="8"/>
        <v>7</v>
      </c>
    </row>
    <row r="174" spans="1:14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t="str">
        <f t="shared" si="6"/>
        <v>DEEPAK</v>
      </c>
      <c r="M174" t="str">
        <f t="shared" si="7"/>
        <v>pen pack</v>
      </c>
      <c r="N174">
        <f t="shared" si="8"/>
        <v>8</v>
      </c>
    </row>
    <row r="175" spans="1:14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t="str">
        <f t="shared" si="6"/>
        <v>ROHAN</v>
      </c>
      <c r="M175" t="str">
        <f t="shared" si="7"/>
        <v>notebook</v>
      </c>
      <c r="N175">
        <f t="shared" si="8"/>
        <v>8</v>
      </c>
    </row>
    <row r="176" spans="1:14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t="str">
        <f t="shared" si="6"/>
        <v>VIKRAM</v>
      </c>
      <c r="M176" t="str">
        <f t="shared" si="7"/>
        <v>headset</v>
      </c>
      <c r="N176">
        <f t="shared" si="8"/>
        <v>7</v>
      </c>
    </row>
    <row r="177" spans="1:14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t="str">
        <f t="shared" si="6"/>
        <v>ROHAN</v>
      </c>
      <c r="M177" t="str">
        <f t="shared" si="7"/>
        <v>headset</v>
      </c>
      <c r="N177">
        <f t="shared" si="8"/>
        <v>7</v>
      </c>
    </row>
    <row r="178" spans="1:14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t="str">
        <f t="shared" si="6"/>
        <v>PRIYA</v>
      </c>
      <c r="M178" t="str">
        <f t="shared" si="7"/>
        <v>desk</v>
      </c>
      <c r="N178">
        <f t="shared" si="8"/>
        <v>4</v>
      </c>
    </row>
    <row r="179" spans="1:14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t="str">
        <f t="shared" si="6"/>
        <v>SARA</v>
      </c>
      <c r="M179" t="str">
        <f t="shared" si="7"/>
        <v>marker</v>
      </c>
      <c r="N179">
        <f t="shared" si="8"/>
        <v>6</v>
      </c>
    </row>
    <row r="180" spans="1:14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t="str">
        <f t="shared" si="6"/>
        <v>YASH</v>
      </c>
      <c r="M180" t="str">
        <f t="shared" si="7"/>
        <v>keyboard</v>
      </c>
      <c r="N180">
        <f t="shared" si="8"/>
        <v>8</v>
      </c>
    </row>
    <row r="181" spans="1:14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t="str">
        <f t="shared" si="6"/>
        <v>DEEPAK</v>
      </c>
      <c r="M181" t="str">
        <f t="shared" si="7"/>
        <v>chair</v>
      </c>
      <c r="N181">
        <f t="shared" si="8"/>
        <v>5</v>
      </c>
    </row>
    <row r="182" spans="1:14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t="str">
        <f t="shared" si="6"/>
        <v>ROHAN</v>
      </c>
      <c r="M182" t="str">
        <f t="shared" si="7"/>
        <v>stapler</v>
      </c>
      <c r="N182">
        <f t="shared" si="8"/>
        <v>7</v>
      </c>
    </row>
    <row r="183" spans="1:14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t="str">
        <f t="shared" si="6"/>
        <v>NISHA</v>
      </c>
      <c r="M183" t="str">
        <f t="shared" si="7"/>
        <v>keyboard</v>
      </c>
      <c r="N183">
        <f t="shared" si="8"/>
        <v>8</v>
      </c>
    </row>
    <row r="184" spans="1:14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t="str">
        <f t="shared" si="6"/>
        <v>KOMAL</v>
      </c>
      <c r="M184" t="str">
        <f t="shared" si="7"/>
        <v>notebook</v>
      </c>
      <c r="N184">
        <f t="shared" si="8"/>
        <v>8</v>
      </c>
    </row>
    <row r="185" spans="1:14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t="str">
        <f t="shared" si="6"/>
        <v>DEEPAK</v>
      </c>
      <c r="M185" t="str">
        <f t="shared" si="7"/>
        <v>keyboard</v>
      </c>
      <c r="N185">
        <f t="shared" si="8"/>
        <v>8</v>
      </c>
    </row>
    <row r="186" spans="1:14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t="str">
        <f t="shared" si="6"/>
        <v>ROHAN</v>
      </c>
      <c r="M186" t="str">
        <f t="shared" si="7"/>
        <v>laptop</v>
      </c>
      <c r="N186">
        <f t="shared" si="8"/>
        <v>6</v>
      </c>
    </row>
    <row r="187" spans="1:14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t="str">
        <f t="shared" si="6"/>
        <v>POOJA</v>
      </c>
      <c r="M187" t="str">
        <f t="shared" si="7"/>
        <v>bookshelf</v>
      </c>
      <c r="N187">
        <f t="shared" si="8"/>
        <v>9</v>
      </c>
    </row>
    <row r="188" spans="1:14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t="str">
        <f t="shared" si="6"/>
        <v>MANOJ</v>
      </c>
      <c r="M188" t="str">
        <f t="shared" si="7"/>
        <v>monitor</v>
      </c>
      <c r="N188">
        <f t="shared" si="8"/>
        <v>7</v>
      </c>
    </row>
    <row r="189" spans="1:14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t="str">
        <f t="shared" si="6"/>
        <v>PRIYA</v>
      </c>
      <c r="M189" t="str">
        <f t="shared" si="7"/>
        <v>cabinet</v>
      </c>
      <c r="N189">
        <f t="shared" si="8"/>
        <v>7</v>
      </c>
    </row>
    <row r="190" spans="1:14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t="str">
        <f t="shared" si="6"/>
        <v>AJAY</v>
      </c>
      <c r="M190" t="str">
        <f t="shared" si="7"/>
        <v>cabinet</v>
      </c>
      <c r="N190">
        <f t="shared" si="8"/>
        <v>7</v>
      </c>
    </row>
    <row r="191" spans="1:14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t="str">
        <f t="shared" si="6"/>
        <v>SARA</v>
      </c>
      <c r="M191" t="str">
        <f t="shared" si="7"/>
        <v>chair</v>
      </c>
      <c r="N191">
        <f t="shared" si="8"/>
        <v>5</v>
      </c>
    </row>
    <row r="192" spans="1:14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t="str">
        <f t="shared" si="6"/>
        <v>KOMAL</v>
      </c>
      <c r="M192" t="str">
        <f t="shared" si="7"/>
        <v>cabinet</v>
      </c>
      <c r="N192">
        <f t="shared" si="8"/>
        <v>7</v>
      </c>
    </row>
    <row r="193" spans="1:14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t="str">
        <f t="shared" si="6"/>
        <v>MEERA</v>
      </c>
      <c r="M193" t="str">
        <f t="shared" si="7"/>
        <v>diary</v>
      </c>
      <c r="N193">
        <f t="shared" si="8"/>
        <v>5</v>
      </c>
    </row>
    <row r="194" spans="1:14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t="str">
        <f t="shared" si="6"/>
        <v>SARA</v>
      </c>
      <c r="M194" t="str">
        <f t="shared" si="7"/>
        <v>table</v>
      </c>
      <c r="N194">
        <f t="shared" si="8"/>
        <v>5</v>
      </c>
    </row>
    <row r="195" spans="1:14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t="str">
        <f t="shared" ref="L195:L258" si="9">UPPER(B195)</f>
        <v>SARA</v>
      </c>
      <c r="M195" t="str">
        <f t="shared" ref="M195:M258" si="10">LOWER(E195)</f>
        <v>chair</v>
      </c>
      <c r="N195">
        <f t="shared" ref="N195:N258" si="11">LEN(E195)</f>
        <v>5</v>
      </c>
    </row>
    <row r="196" spans="1:14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t="str">
        <f t="shared" si="9"/>
        <v>ANITA</v>
      </c>
      <c r="M196" t="str">
        <f t="shared" si="10"/>
        <v>marker</v>
      </c>
      <c r="N196">
        <f t="shared" si="11"/>
        <v>6</v>
      </c>
    </row>
    <row r="197" spans="1:14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t="str">
        <f t="shared" si="9"/>
        <v>NITIN</v>
      </c>
      <c r="M197" t="str">
        <f t="shared" si="10"/>
        <v>printer</v>
      </c>
      <c r="N197">
        <f t="shared" si="11"/>
        <v>7</v>
      </c>
    </row>
    <row r="198" spans="1:14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t="str">
        <f t="shared" si="9"/>
        <v>KOMAL</v>
      </c>
      <c r="M198" t="str">
        <f t="shared" si="10"/>
        <v>printer</v>
      </c>
      <c r="N198">
        <f t="shared" si="11"/>
        <v>7</v>
      </c>
    </row>
    <row r="199" spans="1:14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t="str">
        <f t="shared" si="9"/>
        <v>ROHAN</v>
      </c>
      <c r="M199" t="str">
        <f t="shared" si="10"/>
        <v>notebook</v>
      </c>
      <c r="N199">
        <f t="shared" si="11"/>
        <v>8</v>
      </c>
    </row>
    <row r="200" spans="1:14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t="str">
        <f t="shared" si="9"/>
        <v>RITESH</v>
      </c>
      <c r="M200" t="str">
        <f t="shared" si="10"/>
        <v>monitor</v>
      </c>
      <c r="N200">
        <f t="shared" si="11"/>
        <v>7</v>
      </c>
    </row>
    <row r="201" spans="1:14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t="str">
        <f t="shared" si="9"/>
        <v>PRIYA</v>
      </c>
      <c r="M201" t="str">
        <f t="shared" si="10"/>
        <v>monitor</v>
      </c>
      <c r="N201">
        <f t="shared" si="11"/>
        <v>7</v>
      </c>
    </row>
    <row r="202" spans="1:14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t="str">
        <f t="shared" si="9"/>
        <v>MANOJ</v>
      </c>
      <c r="M202" t="str">
        <f t="shared" si="10"/>
        <v>diary</v>
      </c>
      <c r="N202">
        <f t="shared" si="11"/>
        <v>5</v>
      </c>
    </row>
    <row r="203" spans="1:14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t="str">
        <f t="shared" si="9"/>
        <v>SARA</v>
      </c>
      <c r="M203" t="str">
        <f t="shared" si="10"/>
        <v>printer</v>
      </c>
      <c r="N203">
        <f t="shared" si="11"/>
        <v>7</v>
      </c>
    </row>
    <row r="204" spans="1:14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t="str">
        <f t="shared" si="9"/>
        <v>DEEPAK</v>
      </c>
      <c r="M204" t="str">
        <f t="shared" si="10"/>
        <v>table</v>
      </c>
      <c r="N204">
        <f t="shared" si="11"/>
        <v>5</v>
      </c>
    </row>
    <row r="205" spans="1:14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t="str">
        <f t="shared" si="9"/>
        <v>POOJA</v>
      </c>
      <c r="M205" t="str">
        <f t="shared" si="10"/>
        <v>pen pack</v>
      </c>
      <c r="N205">
        <f t="shared" si="11"/>
        <v>8</v>
      </c>
    </row>
    <row r="206" spans="1:14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t="str">
        <f t="shared" si="9"/>
        <v>MEERA</v>
      </c>
      <c r="M206" t="str">
        <f t="shared" si="10"/>
        <v>stapler</v>
      </c>
      <c r="N206">
        <f t="shared" si="11"/>
        <v>7</v>
      </c>
    </row>
    <row r="207" spans="1:14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t="str">
        <f t="shared" si="9"/>
        <v>SNEHA</v>
      </c>
      <c r="M207" t="str">
        <f t="shared" si="10"/>
        <v>notebook</v>
      </c>
      <c r="N207">
        <f t="shared" si="11"/>
        <v>8</v>
      </c>
    </row>
    <row r="208" spans="1:14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t="str">
        <f t="shared" si="9"/>
        <v>SNEHA</v>
      </c>
      <c r="M208" t="str">
        <f t="shared" si="10"/>
        <v>diary</v>
      </c>
      <c r="N208">
        <f t="shared" si="11"/>
        <v>5</v>
      </c>
    </row>
    <row r="209" spans="1:14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t="str">
        <f t="shared" si="9"/>
        <v>MANOJ</v>
      </c>
      <c r="M209" t="str">
        <f t="shared" si="10"/>
        <v>bookshelf</v>
      </c>
      <c r="N209">
        <f t="shared" si="11"/>
        <v>9</v>
      </c>
    </row>
    <row r="210" spans="1:14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t="str">
        <f t="shared" si="9"/>
        <v>NITIN</v>
      </c>
      <c r="M210" t="str">
        <f t="shared" si="10"/>
        <v>printer</v>
      </c>
      <c r="N210">
        <f t="shared" si="11"/>
        <v>7</v>
      </c>
    </row>
    <row r="211" spans="1:14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t="str">
        <f t="shared" si="9"/>
        <v>NEHA</v>
      </c>
      <c r="M211" t="str">
        <f t="shared" si="10"/>
        <v>diary</v>
      </c>
      <c r="N211">
        <f t="shared" si="11"/>
        <v>5</v>
      </c>
    </row>
    <row r="212" spans="1:14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t="str">
        <f t="shared" si="9"/>
        <v>NITIN</v>
      </c>
      <c r="M212" t="str">
        <f t="shared" si="10"/>
        <v>printer</v>
      </c>
      <c r="N212">
        <f t="shared" si="11"/>
        <v>7</v>
      </c>
    </row>
    <row r="213" spans="1:14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t="str">
        <f t="shared" si="9"/>
        <v>ANITA</v>
      </c>
      <c r="M213" t="str">
        <f t="shared" si="10"/>
        <v>laptop</v>
      </c>
      <c r="N213">
        <f t="shared" si="11"/>
        <v>6</v>
      </c>
    </row>
    <row r="214" spans="1:14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t="str">
        <f t="shared" si="9"/>
        <v>ASHA</v>
      </c>
      <c r="M214" t="str">
        <f t="shared" si="10"/>
        <v>monitor</v>
      </c>
      <c r="N214">
        <f t="shared" si="11"/>
        <v>7</v>
      </c>
    </row>
    <row r="215" spans="1:14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t="str">
        <f t="shared" si="9"/>
        <v>NISHA</v>
      </c>
      <c r="M215" t="str">
        <f t="shared" si="10"/>
        <v>chair</v>
      </c>
      <c r="N215">
        <f t="shared" si="11"/>
        <v>5</v>
      </c>
    </row>
    <row r="216" spans="1:14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t="str">
        <f t="shared" si="9"/>
        <v>ARJUN</v>
      </c>
      <c r="M216" t="str">
        <f t="shared" si="10"/>
        <v>chair</v>
      </c>
      <c r="N216">
        <f t="shared" si="11"/>
        <v>5</v>
      </c>
    </row>
    <row r="217" spans="1:14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t="str">
        <f t="shared" si="9"/>
        <v>DEEPAK</v>
      </c>
      <c r="M217" t="str">
        <f t="shared" si="10"/>
        <v>monitor</v>
      </c>
      <c r="N217">
        <f t="shared" si="11"/>
        <v>7</v>
      </c>
    </row>
    <row r="218" spans="1:14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t="str">
        <f t="shared" si="9"/>
        <v>NEHA</v>
      </c>
      <c r="M218" t="str">
        <f t="shared" si="10"/>
        <v>marker</v>
      </c>
      <c r="N218">
        <f t="shared" si="11"/>
        <v>6</v>
      </c>
    </row>
    <row r="219" spans="1:14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t="str">
        <f t="shared" si="9"/>
        <v>SNEHA</v>
      </c>
      <c r="M219" t="str">
        <f t="shared" si="10"/>
        <v>notebook</v>
      </c>
      <c r="N219">
        <f t="shared" si="11"/>
        <v>8</v>
      </c>
    </row>
    <row r="220" spans="1:14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t="str">
        <f t="shared" si="9"/>
        <v>KIRAN</v>
      </c>
      <c r="M220" t="str">
        <f t="shared" si="10"/>
        <v>notebook</v>
      </c>
      <c r="N220">
        <f t="shared" si="11"/>
        <v>8</v>
      </c>
    </row>
    <row r="221" spans="1:14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t="str">
        <f t="shared" si="9"/>
        <v>RITESH</v>
      </c>
      <c r="M221" t="str">
        <f t="shared" si="10"/>
        <v>cabinet</v>
      </c>
      <c r="N221">
        <f t="shared" si="11"/>
        <v>7</v>
      </c>
    </row>
    <row r="222" spans="1:14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t="str">
        <f t="shared" si="9"/>
        <v>RITESH</v>
      </c>
      <c r="M222" t="str">
        <f t="shared" si="10"/>
        <v>cabinet</v>
      </c>
      <c r="N222">
        <f t="shared" si="11"/>
        <v>7</v>
      </c>
    </row>
    <row r="223" spans="1:14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t="str">
        <f t="shared" si="9"/>
        <v>NEHA</v>
      </c>
      <c r="M223" t="str">
        <f t="shared" si="10"/>
        <v>table</v>
      </c>
      <c r="N223">
        <f t="shared" si="11"/>
        <v>5</v>
      </c>
    </row>
    <row r="224" spans="1:14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t="str">
        <f t="shared" si="9"/>
        <v>ANITA</v>
      </c>
      <c r="M224" t="str">
        <f t="shared" si="10"/>
        <v>table</v>
      </c>
      <c r="N224">
        <f t="shared" si="11"/>
        <v>5</v>
      </c>
    </row>
    <row r="225" spans="1:14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t="str">
        <f t="shared" si="9"/>
        <v>NEHA</v>
      </c>
      <c r="M225" t="str">
        <f t="shared" si="10"/>
        <v>monitor</v>
      </c>
      <c r="N225">
        <f t="shared" si="11"/>
        <v>7</v>
      </c>
    </row>
    <row r="226" spans="1:14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t="str">
        <f t="shared" si="9"/>
        <v>NISHA</v>
      </c>
      <c r="M226" t="str">
        <f t="shared" si="10"/>
        <v>printer</v>
      </c>
      <c r="N226">
        <f t="shared" si="11"/>
        <v>7</v>
      </c>
    </row>
    <row r="227" spans="1:14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t="str">
        <f t="shared" si="9"/>
        <v>PRIYA</v>
      </c>
      <c r="M227" t="str">
        <f t="shared" si="10"/>
        <v>headset</v>
      </c>
      <c r="N227">
        <f t="shared" si="11"/>
        <v>7</v>
      </c>
    </row>
    <row r="228" spans="1:14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t="str">
        <f t="shared" si="9"/>
        <v>ROHAN</v>
      </c>
      <c r="M228" t="str">
        <f t="shared" si="10"/>
        <v>monitor</v>
      </c>
      <c r="N228">
        <f t="shared" si="11"/>
        <v>7</v>
      </c>
    </row>
    <row r="229" spans="1:14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t="str">
        <f t="shared" si="9"/>
        <v>PRIYA</v>
      </c>
      <c r="M229" t="str">
        <f t="shared" si="10"/>
        <v>monitor</v>
      </c>
      <c r="N229">
        <f t="shared" si="11"/>
        <v>7</v>
      </c>
    </row>
    <row r="230" spans="1:14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t="str">
        <f t="shared" si="9"/>
        <v>SARA</v>
      </c>
      <c r="M230" t="str">
        <f t="shared" si="10"/>
        <v>cabinet</v>
      </c>
      <c r="N230">
        <f t="shared" si="11"/>
        <v>7</v>
      </c>
    </row>
    <row r="231" spans="1:14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t="str">
        <f t="shared" si="9"/>
        <v>ANITA</v>
      </c>
      <c r="M231" t="str">
        <f t="shared" si="10"/>
        <v>laptop</v>
      </c>
      <c r="N231">
        <f t="shared" si="11"/>
        <v>6</v>
      </c>
    </row>
    <row r="232" spans="1:14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t="str">
        <f t="shared" si="9"/>
        <v>NITIN</v>
      </c>
      <c r="M232" t="str">
        <f t="shared" si="10"/>
        <v>desk</v>
      </c>
      <c r="N232">
        <f t="shared" si="11"/>
        <v>4</v>
      </c>
    </row>
    <row r="233" spans="1:14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t="str">
        <f t="shared" si="9"/>
        <v>MEERA</v>
      </c>
      <c r="M233" t="str">
        <f t="shared" si="10"/>
        <v>laptop</v>
      </c>
      <c r="N233">
        <f t="shared" si="11"/>
        <v>6</v>
      </c>
    </row>
    <row r="234" spans="1:14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t="str">
        <f t="shared" si="9"/>
        <v>ROHAN</v>
      </c>
      <c r="M234" t="str">
        <f t="shared" si="10"/>
        <v>desk</v>
      </c>
      <c r="N234">
        <f t="shared" si="11"/>
        <v>4</v>
      </c>
    </row>
    <row r="235" spans="1:14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t="str">
        <f t="shared" si="9"/>
        <v>RITESH</v>
      </c>
      <c r="M235" t="str">
        <f t="shared" si="10"/>
        <v>chair</v>
      </c>
      <c r="N235">
        <f t="shared" si="11"/>
        <v>5</v>
      </c>
    </row>
    <row r="236" spans="1:14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t="str">
        <f t="shared" si="9"/>
        <v>SARA</v>
      </c>
      <c r="M236" t="str">
        <f t="shared" si="10"/>
        <v>marker</v>
      </c>
      <c r="N236">
        <f t="shared" si="11"/>
        <v>6</v>
      </c>
    </row>
    <row r="237" spans="1:14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t="str">
        <f t="shared" si="9"/>
        <v>MANOJ</v>
      </c>
      <c r="M237" t="str">
        <f t="shared" si="10"/>
        <v>pen pack</v>
      </c>
      <c r="N237">
        <f t="shared" si="11"/>
        <v>8</v>
      </c>
    </row>
    <row r="238" spans="1:14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t="str">
        <f t="shared" si="9"/>
        <v>KIRAN</v>
      </c>
      <c r="M238" t="str">
        <f t="shared" si="10"/>
        <v>cabinet</v>
      </c>
      <c r="N238">
        <f t="shared" si="11"/>
        <v>7</v>
      </c>
    </row>
    <row r="239" spans="1:14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t="str">
        <f t="shared" si="9"/>
        <v>NEHA</v>
      </c>
      <c r="M239" t="str">
        <f t="shared" si="10"/>
        <v>notebook</v>
      </c>
      <c r="N239">
        <f t="shared" si="11"/>
        <v>8</v>
      </c>
    </row>
    <row r="240" spans="1:14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t="str">
        <f t="shared" si="9"/>
        <v>NITIN</v>
      </c>
      <c r="M240" t="str">
        <f t="shared" si="10"/>
        <v>cabinet</v>
      </c>
      <c r="N240">
        <f t="shared" si="11"/>
        <v>7</v>
      </c>
    </row>
    <row r="241" spans="1:14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t="str">
        <f t="shared" si="9"/>
        <v>SNEHA</v>
      </c>
      <c r="M241" t="str">
        <f t="shared" si="10"/>
        <v>table</v>
      </c>
      <c r="N241">
        <f t="shared" si="11"/>
        <v>5</v>
      </c>
    </row>
    <row r="242" spans="1:14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t="str">
        <f t="shared" si="9"/>
        <v>KIRAN</v>
      </c>
      <c r="M242" t="str">
        <f t="shared" si="10"/>
        <v>bookshelf</v>
      </c>
      <c r="N242">
        <f t="shared" si="11"/>
        <v>9</v>
      </c>
    </row>
    <row r="243" spans="1:14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t="str">
        <f t="shared" si="9"/>
        <v>MANOJ</v>
      </c>
      <c r="M243" t="str">
        <f t="shared" si="10"/>
        <v>marker</v>
      </c>
      <c r="N243">
        <f t="shared" si="11"/>
        <v>6</v>
      </c>
    </row>
    <row r="244" spans="1:14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t="str">
        <f t="shared" si="9"/>
        <v>NEHA</v>
      </c>
      <c r="M244" t="str">
        <f t="shared" si="10"/>
        <v>headset</v>
      </c>
      <c r="N244">
        <f t="shared" si="11"/>
        <v>7</v>
      </c>
    </row>
    <row r="245" spans="1:14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t="str">
        <f t="shared" si="9"/>
        <v>SARA</v>
      </c>
      <c r="M245" t="str">
        <f t="shared" si="10"/>
        <v>chair</v>
      </c>
      <c r="N245">
        <f t="shared" si="11"/>
        <v>5</v>
      </c>
    </row>
    <row r="246" spans="1:14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t="str">
        <f t="shared" si="9"/>
        <v>SNEHA</v>
      </c>
      <c r="M246" t="str">
        <f t="shared" si="10"/>
        <v>headset</v>
      </c>
      <c r="N246">
        <f t="shared" si="11"/>
        <v>7</v>
      </c>
    </row>
    <row r="247" spans="1:14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t="str">
        <f t="shared" si="9"/>
        <v>SNEHA</v>
      </c>
      <c r="M247" t="str">
        <f t="shared" si="10"/>
        <v>printer</v>
      </c>
      <c r="N247">
        <f t="shared" si="11"/>
        <v>7</v>
      </c>
    </row>
    <row r="248" spans="1:14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t="str">
        <f t="shared" si="9"/>
        <v>VIKRAM</v>
      </c>
      <c r="M248" t="str">
        <f t="shared" si="10"/>
        <v>marker</v>
      </c>
      <c r="N248">
        <f t="shared" si="11"/>
        <v>6</v>
      </c>
    </row>
    <row r="249" spans="1:14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t="str">
        <f t="shared" si="9"/>
        <v>ARJUN</v>
      </c>
      <c r="M249" t="str">
        <f t="shared" si="10"/>
        <v>pen pack</v>
      </c>
      <c r="N249">
        <f t="shared" si="11"/>
        <v>8</v>
      </c>
    </row>
    <row r="250" spans="1:14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t="str">
        <f t="shared" si="9"/>
        <v>POOJA</v>
      </c>
      <c r="M250" t="str">
        <f t="shared" si="10"/>
        <v>headset</v>
      </c>
      <c r="N250">
        <f t="shared" si="11"/>
        <v>7</v>
      </c>
    </row>
    <row r="251" spans="1:14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t="str">
        <f t="shared" si="9"/>
        <v>RITESH</v>
      </c>
      <c r="M251" t="str">
        <f t="shared" si="10"/>
        <v>monitor</v>
      </c>
      <c r="N251">
        <f t="shared" si="11"/>
        <v>7</v>
      </c>
    </row>
    <row r="252" spans="1:14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t="str">
        <f t="shared" si="9"/>
        <v>SNEHA</v>
      </c>
      <c r="M252" t="str">
        <f t="shared" si="10"/>
        <v>mouse</v>
      </c>
      <c r="N252">
        <f t="shared" si="11"/>
        <v>5</v>
      </c>
    </row>
    <row r="253" spans="1:14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t="str">
        <f t="shared" si="9"/>
        <v>YASH</v>
      </c>
      <c r="M253" t="str">
        <f t="shared" si="10"/>
        <v>stapler</v>
      </c>
      <c r="N253">
        <f t="shared" si="11"/>
        <v>7</v>
      </c>
    </row>
    <row r="254" spans="1:14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t="str">
        <f t="shared" si="9"/>
        <v>MEERA</v>
      </c>
      <c r="M254" t="str">
        <f t="shared" si="10"/>
        <v>monitor</v>
      </c>
      <c r="N254">
        <f t="shared" si="11"/>
        <v>7</v>
      </c>
    </row>
    <row r="255" spans="1:14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t="str">
        <f t="shared" si="9"/>
        <v>KOMAL</v>
      </c>
      <c r="M255" t="str">
        <f t="shared" si="10"/>
        <v>marker</v>
      </c>
      <c r="N255">
        <f t="shared" si="11"/>
        <v>6</v>
      </c>
    </row>
    <row r="256" spans="1:14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t="str">
        <f t="shared" si="9"/>
        <v>ASHA</v>
      </c>
      <c r="M256" t="str">
        <f t="shared" si="10"/>
        <v>desk</v>
      </c>
      <c r="N256">
        <f t="shared" si="11"/>
        <v>4</v>
      </c>
    </row>
    <row r="257" spans="1:14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t="str">
        <f t="shared" si="9"/>
        <v>NITIN</v>
      </c>
      <c r="M257" t="str">
        <f t="shared" si="10"/>
        <v>marker</v>
      </c>
      <c r="N257">
        <f t="shared" si="11"/>
        <v>6</v>
      </c>
    </row>
    <row r="258" spans="1:14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t="str">
        <f t="shared" si="9"/>
        <v>MANOJ</v>
      </c>
      <c r="M258" t="str">
        <f t="shared" si="10"/>
        <v>mouse</v>
      </c>
      <c r="N258">
        <f t="shared" si="11"/>
        <v>5</v>
      </c>
    </row>
    <row r="259" spans="1:14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t="str">
        <f t="shared" ref="L259:L322" si="12">UPPER(B259)</f>
        <v>ASHA</v>
      </c>
      <c r="M259" t="str">
        <f t="shared" ref="M259:M322" si="13">LOWER(E259)</f>
        <v>laptop</v>
      </c>
      <c r="N259">
        <f t="shared" ref="N259:N322" si="14">LEN(E259)</f>
        <v>6</v>
      </c>
    </row>
    <row r="260" spans="1:14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t="str">
        <f t="shared" si="12"/>
        <v>NISHA</v>
      </c>
      <c r="M260" t="str">
        <f t="shared" si="13"/>
        <v>monitor</v>
      </c>
      <c r="N260">
        <f t="shared" si="14"/>
        <v>7</v>
      </c>
    </row>
    <row r="261" spans="1:14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t="str">
        <f t="shared" si="12"/>
        <v>MANOJ</v>
      </c>
      <c r="M261" t="str">
        <f t="shared" si="13"/>
        <v>headset</v>
      </c>
      <c r="N261">
        <f t="shared" si="14"/>
        <v>7</v>
      </c>
    </row>
    <row r="262" spans="1:14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t="str">
        <f t="shared" si="12"/>
        <v>DEEPAK</v>
      </c>
      <c r="M262" t="str">
        <f t="shared" si="13"/>
        <v>marker</v>
      </c>
      <c r="N262">
        <f t="shared" si="14"/>
        <v>6</v>
      </c>
    </row>
    <row r="263" spans="1:14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t="str">
        <f t="shared" si="12"/>
        <v>POOJA</v>
      </c>
      <c r="M263" t="str">
        <f t="shared" si="13"/>
        <v>chair</v>
      </c>
      <c r="N263">
        <f t="shared" si="14"/>
        <v>5</v>
      </c>
    </row>
    <row r="264" spans="1:14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t="str">
        <f t="shared" si="12"/>
        <v>PRIYA</v>
      </c>
      <c r="M264" t="str">
        <f t="shared" si="13"/>
        <v>chair</v>
      </c>
      <c r="N264">
        <f t="shared" si="14"/>
        <v>5</v>
      </c>
    </row>
    <row r="265" spans="1:14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t="str">
        <f t="shared" si="12"/>
        <v>RITESH</v>
      </c>
      <c r="M265" t="str">
        <f t="shared" si="13"/>
        <v>chair</v>
      </c>
      <c r="N265">
        <f t="shared" si="14"/>
        <v>5</v>
      </c>
    </row>
    <row r="266" spans="1:14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t="str">
        <f t="shared" si="12"/>
        <v>ROHAN</v>
      </c>
      <c r="M266" t="str">
        <f t="shared" si="13"/>
        <v>desk</v>
      </c>
      <c r="N266">
        <f t="shared" si="14"/>
        <v>4</v>
      </c>
    </row>
    <row r="267" spans="1:14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t="str">
        <f t="shared" si="12"/>
        <v>PRIYA</v>
      </c>
      <c r="M267" t="str">
        <f t="shared" si="13"/>
        <v>notebook</v>
      </c>
      <c r="N267">
        <f t="shared" si="14"/>
        <v>8</v>
      </c>
    </row>
    <row r="268" spans="1:14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t="str">
        <f t="shared" si="12"/>
        <v>ARJUN</v>
      </c>
      <c r="M268" t="str">
        <f t="shared" si="13"/>
        <v>marker</v>
      </c>
      <c r="N268">
        <f t="shared" si="14"/>
        <v>6</v>
      </c>
    </row>
    <row r="269" spans="1:14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t="str">
        <f t="shared" si="12"/>
        <v>NISHA</v>
      </c>
      <c r="M269" t="str">
        <f t="shared" si="13"/>
        <v>monitor</v>
      </c>
      <c r="N269">
        <f t="shared" si="14"/>
        <v>7</v>
      </c>
    </row>
    <row r="270" spans="1:14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t="str">
        <f t="shared" si="12"/>
        <v>KOMAL</v>
      </c>
      <c r="M270" t="str">
        <f t="shared" si="13"/>
        <v>desk</v>
      </c>
      <c r="N270">
        <f t="shared" si="14"/>
        <v>4</v>
      </c>
    </row>
    <row r="271" spans="1:14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t="str">
        <f t="shared" si="12"/>
        <v>AJAY</v>
      </c>
      <c r="M271" t="str">
        <f t="shared" si="13"/>
        <v>printer</v>
      </c>
      <c r="N271">
        <f t="shared" si="14"/>
        <v>7</v>
      </c>
    </row>
    <row r="272" spans="1:14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t="str">
        <f t="shared" si="12"/>
        <v>DEEPAK</v>
      </c>
      <c r="M272" t="str">
        <f t="shared" si="13"/>
        <v>laptop</v>
      </c>
      <c r="N272">
        <f t="shared" si="14"/>
        <v>6</v>
      </c>
    </row>
    <row r="273" spans="1:14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t="str">
        <f t="shared" si="12"/>
        <v>KOMAL</v>
      </c>
      <c r="M273" t="str">
        <f t="shared" si="13"/>
        <v>headset</v>
      </c>
      <c r="N273">
        <f t="shared" si="14"/>
        <v>7</v>
      </c>
    </row>
    <row r="274" spans="1:14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t="str">
        <f t="shared" si="12"/>
        <v>KIRAN</v>
      </c>
      <c r="M274" t="str">
        <f t="shared" si="13"/>
        <v>keyboard</v>
      </c>
      <c r="N274">
        <f t="shared" si="14"/>
        <v>8</v>
      </c>
    </row>
    <row r="275" spans="1:14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t="str">
        <f t="shared" si="12"/>
        <v>VIKRAM</v>
      </c>
      <c r="M275" t="str">
        <f t="shared" si="13"/>
        <v>headset</v>
      </c>
      <c r="N275">
        <f t="shared" si="14"/>
        <v>7</v>
      </c>
    </row>
    <row r="276" spans="1:14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t="str">
        <f t="shared" si="12"/>
        <v>POOJA</v>
      </c>
      <c r="M276" t="str">
        <f t="shared" si="13"/>
        <v>marker</v>
      </c>
      <c r="N276">
        <f t="shared" si="14"/>
        <v>6</v>
      </c>
    </row>
    <row r="277" spans="1:14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t="str">
        <f t="shared" si="12"/>
        <v>DEEPAK</v>
      </c>
      <c r="M277" t="str">
        <f t="shared" si="13"/>
        <v>desk</v>
      </c>
      <c r="N277">
        <f t="shared" si="14"/>
        <v>4</v>
      </c>
    </row>
    <row r="278" spans="1:14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t="str">
        <f t="shared" si="12"/>
        <v>ANITA</v>
      </c>
      <c r="M278" t="str">
        <f t="shared" si="13"/>
        <v>stapler</v>
      </c>
      <c r="N278">
        <f t="shared" si="14"/>
        <v>7</v>
      </c>
    </row>
    <row r="279" spans="1:14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t="str">
        <f t="shared" si="12"/>
        <v>YASH</v>
      </c>
      <c r="M279" t="str">
        <f t="shared" si="13"/>
        <v>mouse</v>
      </c>
      <c r="N279">
        <f t="shared" si="14"/>
        <v>5</v>
      </c>
    </row>
    <row r="280" spans="1:14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t="str">
        <f t="shared" si="12"/>
        <v>SNEHA</v>
      </c>
      <c r="M280" t="str">
        <f t="shared" si="13"/>
        <v>monitor</v>
      </c>
      <c r="N280">
        <f t="shared" si="14"/>
        <v>7</v>
      </c>
    </row>
    <row r="281" spans="1:14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t="str">
        <f t="shared" si="12"/>
        <v>ANITA</v>
      </c>
      <c r="M281" t="str">
        <f t="shared" si="13"/>
        <v>diary</v>
      </c>
      <c r="N281">
        <f t="shared" si="14"/>
        <v>5</v>
      </c>
    </row>
    <row r="282" spans="1:14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t="str">
        <f t="shared" si="12"/>
        <v>SNEHA</v>
      </c>
      <c r="M282" t="str">
        <f t="shared" si="13"/>
        <v>marker</v>
      </c>
      <c r="N282">
        <f t="shared" si="14"/>
        <v>6</v>
      </c>
    </row>
    <row r="283" spans="1:14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t="str">
        <f t="shared" si="12"/>
        <v>SARA</v>
      </c>
      <c r="M283" t="str">
        <f t="shared" si="13"/>
        <v>bookshelf</v>
      </c>
      <c r="N283">
        <f t="shared" si="14"/>
        <v>9</v>
      </c>
    </row>
    <row r="284" spans="1:14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t="str">
        <f t="shared" si="12"/>
        <v>DEEPAK</v>
      </c>
      <c r="M284" t="str">
        <f t="shared" si="13"/>
        <v>table</v>
      </c>
      <c r="N284">
        <f t="shared" si="14"/>
        <v>5</v>
      </c>
    </row>
    <row r="285" spans="1:14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t="str">
        <f t="shared" si="12"/>
        <v>DEEPAK</v>
      </c>
      <c r="M285" t="str">
        <f t="shared" si="13"/>
        <v>pen pack</v>
      </c>
      <c r="N285">
        <f t="shared" si="14"/>
        <v>8</v>
      </c>
    </row>
    <row r="286" spans="1:14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t="str">
        <f t="shared" si="12"/>
        <v>ASHA</v>
      </c>
      <c r="M286" t="str">
        <f t="shared" si="13"/>
        <v>stapler</v>
      </c>
      <c r="N286">
        <f t="shared" si="14"/>
        <v>7</v>
      </c>
    </row>
    <row r="287" spans="1:14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t="str">
        <f t="shared" si="12"/>
        <v>KIRAN</v>
      </c>
      <c r="M287" t="str">
        <f t="shared" si="13"/>
        <v>cabinet</v>
      </c>
      <c r="N287">
        <f t="shared" si="14"/>
        <v>7</v>
      </c>
    </row>
    <row r="288" spans="1:14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t="str">
        <f t="shared" si="12"/>
        <v>ANITA</v>
      </c>
      <c r="M288" t="str">
        <f t="shared" si="13"/>
        <v>notebook</v>
      </c>
      <c r="N288">
        <f t="shared" si="14"/>
        <v>8</v>
      </c>
    </row>
    <row r="289" spans="1:14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t="str">
        <f t="shared" si="12"/>
        <v>MANOJ</v>
      </c>
      <c r="M289" t="str">
        <f t="shared" si="13"/>
        <v>laptop</v>
      </c>
      <c r="N289">
        <f t="shared" si="14"/>
        <v>6</v>
      </c>
    </row>
    <row r="290" spans="1:14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t="str">
        <f t="shared" si="12"/>
        <v>VIKRAM</v>
      </c>
      <c r="M290" t="str">
        <f t="shared" si="13"/>
        <v>monitor</v>
      </c>
      <c r="N290">
        <f t="shared" si="14"/>
        <v>7</v>
      </c>
    </row>
    <row r="291" spans="1:14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t="str">
        <f t="shared" si="12"/>
        <v>VIKRAM</v>
      </c>
      <c r="M291" t="str">
        <f t="shared" si="13"/>
        <v>printer</v>
      </c>
      <c r="N291">
        <f t="shared" si="14"/>
        <v>7</v>
      </c>
    </row>
    <row r="292" spans="1:14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t="str">
        <f t="shared" si="12"/>
        <v>MEERA</v>
      </c>
      <c r="M292" t="str">
        <f t="shared" si="13"/>
        <v>stapler</v>
      </c>
      <c r="N292">
        <f t="shared" si="14"/>
        <v>7</v>
      </c>
    </row>
    <row r="293" spans="1:14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t="str">
        <f t="shared" si="12"/>
        <v>MANOJ</v>
      </c>
      <c r="M293" t="str">
        <f t="shared" si="13"/>
        <v>mouse</v>
      </c>
      <c r="N293">
        <f t="shared" si="14"/>
        <v>5</v>
      </c>
    </row>
    <row r="294" spans="1:14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t="str">
        <f t="shared" si="12"/>
        <v>AJAY</v>
      </c>
      <c r="M294" t="str">
        <f t="shared" si="13"/>
        <v>table</v>
      </c>
      <c r="N294">
        <f t="shared" si="14"/>
        <v>5</v>
      </c>
    </row>
    <row r="295" spans="1:14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t="str">
        <f t="shared" si="12"/>
        <v>MEERA</v>
      </c>
      <c r="M295" t="str">
        <f t="shared" si="13"/>
        <v>desk</v>
      </c>
      <c r="N295">
        <f t="shared" si="14"/>
        <v>4</v>
      </c>
    </row>
    <row r="296" spans="1:14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t="str">
        <f t="shared" si="12"/>
        <v>KOMAL</v>
      </c>
      <c r="M296" t="str">
        <f t="shared" si="13"/>
        <v>chair</v>
      </c>
      <c r="N296">
        <f t="shared" si="14"/>
        <v>5</v>
      </c>
    </row>
    <row r="297" spans="1:14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t="str">
        <f t="shared" si="12"/>
        <v>VIKRAM</v>
      </c>
      <c r="M297" t="str">
        <f t="shared" si="13"/>
        <v>marker</v>
      </c>
      <c r="N297">
        <f t="shared" si="14"/>
        <v>6</v>
      </c>
    </row>
    <row r="298" spans="1:14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t="str">
        <f t="shared" si="12"/>
        <v>MANOJ</v>
      </c>
      <c r="M298" t="str">
        <f t="shared" si="13"/>
        <v>printer</v>
      </c>
      <c r="N298">
        <f t="shared" si="14"/>
        <v>7</v>
      </c>
    </row>
    <row r="299" spans="1:14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t="str">
        <f t="shared" si="12"/>
        <v>MEERA</v>
      </c>
      <c r="M299" t="str">
        <f t="shared" si="13"/>
        <v>mouse</v>
      </c>
      <c r="N299">
        <f t="shared" si="14"/>
        <v>5</v>
      </c>
    </row>
    <row r="300" spans="1:14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t="str">
        <f t="shared" si="12"/>
        <v>VIKRAM</v>
      </c>
      <c r="M300" t="str">
        <f t="shared" si="13"/>
        <v>cabinet</v>
      </c>
      <c r="N300">
        <f t="shared" si="14"/>
        <v>7</v>
      </c>
    </row>
    <row r="301" spans="1:14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t="str">
        <f t="shared" si="12"/>
        <v>YASH</v>
      </c>
      <c r="M301" t="str">
        <f t="shared" si="13"/>
        <v>monitor</v>
      </c>
      <c r="N301">
        <f t="shared" si="14"/>
        <v>7</v>
      </c>
    </row>
    <row r="302" spans="1:14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t="str">
        <f t="shared" si="12"/>
        <v>MANOJ</v>
      </c>
      <c r="M302" t="str">
        <f t="shared" si="13"/>
        <v>chair</v>
      </c>
      <c r="N302">
        <f t="shared" si="14"/>
        <v>5</v>
      </c>
    </row>
    <row r="303" spans="1:14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t="str">
        <f t="shared" si="12"/>
        <v>SARA</v>
      </c>
      <c r="M303" t="str">
        <f t="shared" si="13"/>
        <v>printer</v>
      </c>
      <c r="N303">
        <f t="shared" si="14"/>
        <v>7</v>
      </c>
    </row>
    <row r="304" spans="1:14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t="str">
        <f t="shared" si="12"/>
        <v>SARA</v>
      </c>
      <c r="M304" t="str">
        <f t="shared" si="13"/>
        <v>printer</v>
      </c>
      <c r="N304">
        <f t="shared" si="14"/>
        <v>7</v>
      </c>
    </row>
    <row r="305" spans="1:14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t="str">
        <f t="shared" si="12"/>
        <v>ANITA</v>
      </c>
      <c r="M305" t="str">
        <f t="shared" si="13"/>
        <v>stapler</v>
      </c>
      <c r="N305">
        <f t="shared" si="14"/>
        <v>7</v>
      </c>
    </row>
    <row r="306" spans="1:14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t="str">
        <f t="shared" si="12"/>
        <v>ROHAN</v>
      </c>
      <c r="M306" t="str">
        <f t="shared" si="13"/>
        <v>laptop</v>
      </c>
      <c r="N306">
        <f t="shared" si="14"/>
        <v>6</v>
      </c>
    </row>
    <row r="307" spans="1:14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t="str">
        <f t="shared" si="12"/>
        <v>MANOJ</v>
      </c>
      <c r="M307" t="str">
        <f t="shared" si="13"/>
        <v>stapler</v>
      </c>
      <c r="N307">
        <f t="shared" si="14"/>
        <v>7</v>
      </c>
    </row>
    <row r="308" spans="1:14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t="str">
        <f t="shared" si="12"/>
        <v>SARA</v>
      </c>
      <c r="M308" t="str">
        <f t="shared" si="13"/>
        <v>printer</v>
      </c>
      <c r="N308">
        <f t="shared" si="14"/>
        <v>7</v>
      </c>
    </row>
    <row r="309" spans="1:14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t="str">
        <f t="shared" si="12"/>
        <v>NEHA</v>
      </c>
      <c r="M309" t="str">
        <f t="shared" si="13"/>
        <v>headset</v>
      </c>
      <c r="N309">
        <f t="shared" si="14"/>
        <v>7</v>
      </c>
    </row>
    <row r="310" spans="1:14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t="str">
        <f t="shared" si="12"/>
        <v>PRIYA</v>
      </c>
      <c r="M310" t="str">
        <f t="shared" si="13"/>
        <v>marker</v>
      </c>
      <c r="N310">
        <f t="shared" si="14"/>
        <v>6</v>
      </c>
    </row>
    <row r="311" spans="1:14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t="str">
        <f t="shared" si="12"/>
        <v>AJAY</v>
      </c>
      <c r="M311" t="str">
        <f t="shared" si="13"/>
        <v>cabinet</v>
      </c>
      <c r="N311">
        <f t="shared" si="14"/>
        <v>7</v>
      </c>
    </row>
    <row r="312" spans="1:14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t="str">
        <f t="shared" si="12"/>
        <v>SNEHA</v>
      </c>
      <c r="M312" t="str">
        <f t="shared" si="13"/>
        <v>notebook</v>
      </c>
      <c r="N312">
        <f t="shared" si="14"/>
        <v>8</v>
      </c>
    </row>
    <row r="313" spans="1:14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t="str">
        <f t="shared" si="12"/>
        <v>SARA</v>
      </c>
      <c r="M313" t="str">
        <f t="shared" si="13"/>
        <v>cabinet</v>
      </c>
      <c r="N313">
        <f t="shared" si="14"/>
        <v>7</v>
      </c>
    </row>
    <row r="314" spans="1:14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t="str">
        <f t="shared" si="12"/>
        <v>ANITA</v>
      </c>
      <c r="M314" t="str">
        <f t="shared" si="13"/>
        <v>cabinet</v>
      </c>
      <c r="N314">
        <f t="shared" si="14"/>
        <v>7</v>
      </c>
    </row>
    <row r="315" spans="1:14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t="str">
        <f t="shared" si="12"/>
        <v>KOMAL</v>
      </c>
      <c r="M315" t="str">
        <f t="shared" si="13"/>
        <v>desk</v>
      </c>
      <c r="N315">
        <f t="shared" si="14"/>
        <v>4</v>
      </c>
    </row>
    <row r="316" spans="1:14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t="str">
        <f t="shared" si="12"/>
        <v>AJAY</v>
      </c>
      <c r="M316" t="str">
        <f t="shared" si="13"/>
        <v>headset</v>
      </c>
      <c r="N316">
        <f t="shared" si="14"/>
        <v>7</v>
      </c>
    </row>
    <row r="317" spans="1:14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t="str">
        <f t="shared" si="12"/>
        <v>KIRAN</v>
      </c>
      <c r="M317" t="str">
        <f t="shared" si="13"/>
        <v>chair</v>
      </c>
      <c r="N317">
        <f t="shared" si="14"/>
        <v>5</v>
      </c>
    </row>
    <row r="318" spans="1:14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t="str">
        <f t="shared" si="12"/>
        <v>ANITA</v>
      </c>
      <c r="M318" t="str">
        <f t="shared" si="13"/>
        <v>headset</v>
      </c>
      <c r="N318">
        <f t="shared" si="14"/>
        <v>7</v>
      </c>
    </row>
    <row r="319" spans="1:14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t="str">
        <f t="shared" si="12"/>
        <v>RITESH</v>
      </c>
      <c r="M319" t="str">
        <f t="shared" si="13"/>
        <v>marker</v>
      </c>
      <c r="N319">
        <f t="shared" si="14"/>
        <v>6</v>
      </c>
    </row>
    <row r="320" spans="1:14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t="str">
        <f t="shared" si="12"/>
        <v>MEERA</v>
      </c>
      <c r="M320" t="str">
        <f t="shared" si="13"/>
        <v>mouse</v>
      </c>
      <c r="N320">
        <f t="shared" si="14"/>
        <v>5</v>
      </c>
    </row>
    <row r="321" spans="1:14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t="str">
        <f t="shared" si="12"/>
        <v>YASH</v>
      </c>
      <c r="M321" t="str">
        <f t="shared" si="13"/>
        <v>stapler</v>
      </c>
      <c r="N321">
        <f t="shared" si="14"/>
        <v>7</v>
      </c>
    </row>
    <row r="322" spans="1:14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t="str">
        <f t="shared" si="12"/>
        <v>ASHA</v>
      </c>
      <c r="M322" t="str">
        <f t="shared" si="13"/>
        <v>desk</v>
      </c>
      <c r="N322">
        <f t="shared" si="14"/>
        <v>4</v>
      </c>
    </row>
    <row r="323" spans="1:14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t="str">
        <f t="shared" ref="L323:L386" si="15">UPPER(B323)</f>
        <v>ARJUN</v>
      </c>
      <c r="M323" t="str">
        <f t="shared" ref="M323:M386" si="16">LOWER(E323)</f>
        <v>table</v>
      </c>
      <c r="N323">
        <f t="shared" ref="N323:N386" si="17">LEN(E323)</f>
        <v>5</v>
      </c>
    </row>
    <row r="324" spans="1:14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t="str">
        <f t="shared" si="15"/>
        <v>SARA</v>
      </c>
      <c r="M324" t="str">
        <f t="shared" si="16"/>
        <v>mouse</v>
      </c>
      <c r="N324">
        <f t="shared" si="17"/>
        <v>5</v>
      </c>
    </row>
    <row r="325" spans="1:14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t="str">
        <f t="shared" si="15"/>
        <v>ASHA</v>
      </c>
      <c r="M325" t="str">
        <f t="shared" si="16"/>
        <v>desk</v>
      </c>
      <c r="N325">
        <f t="shared" si="17"/>
        <v>4</v>
      </c>
    </row>
    <row r="326" spans="1:14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t="str">
        <f t="shared" si="15"/>
        <v>NITIN</v>
      </c>
      <c r="M326" t="str">
        <f t="shared" si="16"/>
        <v>keyboard</v>
      </c>
      <c r="N326">
        <f t="shared" si="17"/>
        <v>8</v>
      </c>
    </row>
    <row r="327" spans="1:14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t="str">
        <f t="shared" si="15"/>
        <v>VIKRAM</v>
      </c>
      <c r="M327" t="str">
        <f t="shared" si="16"/>
        <v>bookshelf</v>
      </c>
      <c r="N327">
        <f t="shared" si="17"/>
        <v>9</v>
      </c>
    </row>
    <row r="328" spans="1:14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t="str">
        <f t="shared" si="15"/>
        <v>NITIN</v>
      </c>
      <c r="M328" t="str">
        <f t="shared" si="16"/>
        <v>diary</v>
      </c>
      <c r="N328">
        <f t="shared" si="17"/>
        <v>5</v>
      </c>
    </row>
    <row r="329" spans="1:14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t="str">
        <f t="shared" si="15"/>
        <v>POOJA</v>
      </c>
      <c r="M329" t="str">
        <f t="shared" si="16"/>
        <v>stapler</v>
      </c>
      <c r="N329">
        <f t="shared" si="17"/>
        <v>7</v>
      </c>
    </row>
    <row r="330" spans="1:14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t="str">
        <f t="shared" si="15"/>
        <v>NEHA</v>
      </c>
      <c r="M330" t="str">
        <f t="shared" si="16"/>
        <v>diary</v>
      </c>
      <c r="N330">
        <f t="shared" si="17"/>
        <v>5</v>
      </c>
    </row>
    <row r="331" spans="1:14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t="str">
        <f t="shared" si="15"/>
        <v>AJAY</v>
      </c>
      <c r="M331" t="str">
        <f t="shared" si="16"/>
        <v>desk</v>
      </c>
      <c r="N331">
        <f t="shared" si="17"/>
        <v>4</v>
      </c>
    </row>
    <row r="332" spans="1:14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t="str">
        <f t="shared" si="15"/>
        <v>MEERA</v>
      </c>
      <c r="M332" t="str">
        <f t="shared" si="16"/>
        <v>mouse</v>
      </c>
      <c r="N332">
        <f t="shared" si="17"/>
        <v>5</v>
      </c>
    </row>
    <row r="333" spans="1:14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t="str">
        <f t="shared" si="15"/>
        <v>PRIYA</v>
      </c>
      <c r="M333" t="str">
        <f t="shared" si="16"/>
        <v>marker</v>
      </c>
      <c r="N333">
        <f t="shared" si="17"/>
        <v>6</v>
      </c>
    </row>
    <row r="334" spans="1:14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t="str">
        <f t="shared" si="15"/>
        <v>PRIYA</v>
      </c>
      <c r="M334" t="str">
        <f t="shared" si="16"/>
        <v>diary</v>
      </c>
      <c r="N334">
        <f t="shared" si="17"/>
        <v>5</v>
      </c>
    </row>
    <row r="335" spans="1:14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t="str">
        <f t="shared" si="15"/>
        <v>DEEPAK</v>
      </c>
      <c r="M335" t="str">
        <f t="shared" si="16"/>
        <v>headset</v>
      </c>
      <c r="N335">
        <f t="shared" si="17"/>
        <v>7</v>
      </c>
    </row>
    <row r="336" spans="1:14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t="str">
        <f t="shared" si="15"/>
        <v>YASH</v>
      </c>
      <c r="M336" t="str">
        <f t="shared" si="16"/>
        <v>desk</v>
      </c>
      <c r="N336">
        <f t="shared" si="17"/>
        <v>4</v>
      </c>
    </row>
    <row r="337" spans="1:14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t="str">
        <f t="shared" si="15"/>
        <v>POOJA</v>
      </c>
      <c r="M337" t="str">
        <f t="shared" si="16"/>
        <v>cabinet</v>
      </c>
      <c r="N337">
        <f t="shared" si="17"/>
        <v>7</v>
      </c>
    </row>
    <row r="338" spans="1:14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t="str">
        <f t="shared" si="15"/>
        <v>POOJA</v>
      </c>
      <c r="M338" t="str">
        <f t="shared" si="16"/>
        <v>diary</v>
      </c>
      <c r="N338">
        <f t="shared" si="17"/>
        <v>5</v>
      </c>
    </row>
    <row r="339" spans="1:14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t="str">
        <f t="shared" si="15"/>
        <v>ANITA</v>
      </c>
      <c r="M339" t="str">
        <f t="shared" si="16"/>
        <v>laptop</v>
      </c>
      <c r="N339">
        <f t="shared" si="17"/>
        <v>6</v>
      </c>
    </row>
    <row r="340" spans="1:14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t="str">
        <f t="shared" si="15"/>
        <v>ASHA</v>
      </c>
      <c r="M340" t="str">
        <f t="shared" si="16"/>
        <v>notebook</v>
      </c>
      <c r="N340">
        <f t="shared" si="17"/>
        <v>8</v>
      </c>
    </row>
    <row r="341" spans="1:14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t="str">
        <f t="shared" si="15"/>
        <v>NITIN</v>
      </c>
      <c r="M341" t="str">
        <f t="shared" si="16"/>
        <v>desk</v>
      </c>
      <c r="N341">
        <f t="shared" si="17"/>
        <v>4</v>
      </c>
    </row>
    <row r="342" spans="1:14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t="str">
        <f t="shared" si="15"/>
        <v>SARA</v>
      </c>
      <c r="M342" t="str">
        <f t="shared" si="16"/>
        <v>desk</v>
      </c>
      <c r="N342">
        <f t="shared" si="17"/>
        <v>4</v>
      </c>
    </row>
    <row r="343" spans="1:14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t="str">
        <f t="shared" si="15"/>
        <v>ANITA</v>
      </c>
      <c r="M343" t="str">
        <f t="shared" si="16"/>
        <v>printer</v>
      </c>
      <c r="N343">
        <f t="shared" si="17"/>
        <v>7</v>
      </c>
    </row>
    <row r="344" spans="1:14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t="str">
        <f t="shared" si="15"/>
        <v>ANITA</v>
      </c>
      <c r="M344" t="str">
        <f t="shared" si="16"/>
        <v>keyboard</v>
      </c>
      <c r="N344">
        <f t="shared" si="17"/>
        <v>8</v>
      </c>
    </row>
    <row r="345" spans="1:14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t="str">
        <f t="shared" si="15"/>
        <v>NEHA</v>
      </c>
      <c r="M345" t="str">
        <f t="shared" si="16"/>
        <v>diary</v>
      </c>
      <c r="N345">
        <f t="shared" si="17"/>
        <v>5</v>
      </c>
    </row>
    <row r="346" spans="1:14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t="str">
        <f t="shared" si="15"/>
        <v>ASHA</v>
      </c>
      <c r="M346" t="str">
        <f t="shared" si="16"/>
        <v>monitor</v>
      </c>
      <c r="N346">
        <f t="shared" si="17"/>
        <v>7</v>
      </c>
    </row>
    <row r="347" spans="1:14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t="str">
        <f t="shared" si="15"/>
        <v>ASHA</v>
      </c>
      <c r="M347" t="str">
        <f t="shared" si="16"/>
        <v>desk</v>
      </c>
      <c r="N347">
        <f t="shared" si="17"/>
        <v>4</v>
      </c>
    </row>
    <row r="348" spans="1:14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t="str">
        <f t="shared" si="15"/>
        <v>PRIYA</v>
      </c>
      <c r="M348" t="str">
        <f t="shared" si="16"/>
        <v>printer</v>
      </c>
      <c r="N348">
        <f t="shared" si="17"/>
        <v>7</v>
      </c>
    </row>
    <row r="349" spans="1:14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t="str">
        <f t="shared" si="15"/>
        <v>RITESH</v>
      </c>
      <c r="M349" t="str">
        <f t="shared" si="16"/>
        <v>marker</v>
      </c>
      <c r="N349">
        <f t="shared" si="17"/>
        <v>6</v>
      </c>
    </row>
    <row r="350" spans="1:14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t="str">
        <f t="shared" si="15"/>
        <v>DEEPAK</v>
      </c>
      <c r="M350" t="str">
        <f t="shared" si="16"/>
        <v>printer</v>
      </c>
      <c r="N350">
        <f t="shared" si="17"/>
        <v>7</v>
      </c>
    </row>
    <row r="351" spans="1:14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t="str">
        <f t="shared" si="15"/>
        <v>VIKRAM</v>
      </c>
      <c r="M351" t="str">
        <f t="shared" si="16"/>
        <v>chair</v>
      </c>
      <c r="N351">
        <f t="shared" si="17"/>
        <v>5</v>
      </c>
    </row>
    <row r="352" spans="1:14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t="str">
        <f t="shared" si="15"/>
        <v>NISHA</v>
      </c>
      <c r="M352" t="str">
        <f t="shared" si="16"/>
        <v>monitor</v>
      </c>
      <c r="N352">
        <f t="shared" si="17"/>
        <v>7</v>
      </c>
    </row>
    <row r="353" spans="1:14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t="str">
        <f t="shared" si="15"/>
        <v>MANOJ</v>
      </c>
      <c r="M353" t="str">
        <f t="shared" si="16"/>
        <v>notebook</v>
      </c>
      <c r="N353">
        <f t="shared" si="17"/>
        <v>8</v>
      </c>
    </row>
    <row r="354" spans="1:14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t="str">
        <f t="shared" si="15"/>
        <v>YASH</v>
      </c>
      <c r="M354" t="str">
        <f t="shared" si="16"/>
        <v>notebook</v>
      </c>
      <c r="N354">
        <f t="shared" si="17"/>
        <v>8</v>
      </c>
    </row>
    <row r="355" spans="1:14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t="str">
        <f t="shared" si="15"/>
        <v>YASH</v>
      </c>
      <c r="M355" t="str">
        <f t="shared" si="16"/>
        <v>printer</v>
      </c>
      <c r="N355">
        <f t="shared" si="17"/>
        <v>7</v>
      </c>
    </row>
    <row r="356" spans="1:14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t="str">
        <f t="shared" si="15"/>
        <v>ARJUN</v>
      </c>
      <c r="M356" t="str">
        <f t="shared" si="16"/>
        <v>laptop</v>
      </c>
      <c r="N356">
        <f t="shared" si="17"/>
        <v>6</v>
      </c>
    </row>
    <row r="357" spans="1:14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t="str">
        <f t="shared" si="15"/>
        <v>VIKRAM</v>
      </c>
      <c r="M357" t="str">
        <f t="shared" si="16"/>
        <v>laptop</v>
      </c>
      <c r="N357">
        <f t="shared" si="17"/>
        <v>6</v>
      </c>
    </row>
    <row r="358" spans="1:14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t="str">
        <f t="shared" si="15"/>
        <v>ANITA</v>
      </c>
      <c r="M358" t="str">
        <f t="shared" si="16"/>
        <v>pen pack</v>
      </c>
      <c r="N358">
        <f t="shared" si="17"/>
        <v>8</v>
      </c>
    </row>
    <row r="359" spans="1:14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t="str">
        <f t="shared" si="15"/>
        <v>DEEPAK</v>
      </c>
      <c r="M359" t="str">
        <f t="shared" si="16"/>
        <v>desk</v>
      </c>
      <c r="N359">
        <f t="shared" si="17"/>
        <v>4</v>
      </c>
    </row>
    <row r="360" spans="1:14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t="str">
        <f t="shared" si="15"/>
        <v>MANOJ</v>
      </c>
      <c r="M360" t="str">
        <f t="shared" si="16"/>
        <v>mouse</v>
      </c>
      <c r="N360">
        <f t="shared" si="17"/>
        <v>5</v>
      </c>
    </row>
    <row r="361" spans="1:14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t="str">
        <f t="shared" si="15"/>
        <v>RITESH</v>
      </c>
      <c r="M361" t="str">
        <f t="shared" si="16"/>
        <v>table</v>
      </c>
      <c r="N361">
        <f t="shared" si="17"/>
        <v>5</v>
      </c>
    </row>
    <row r="362" spans="1:14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t="str">
        <f t="shared" si="15"/>
        <v>NISHA</v>
      </c>
      <c r="M362" t="str">
        <f t="shared" si="16"/>
        <v>table</v>
      </c>
      <c r="N362">
        <f t="shared" si="17"/>
        <v>5</v>
      </c>
    </row>
    <row r="363" spans="1:14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t="str">
        <f t="shared" si="15"/>
        <v>POOJA</v>
      </c>
      <c r="M363" t="str">
        <f t="shared" si="16"/>
        <v>chair</v>
      </c>
      <c r="N363">
        <f t="shared" si="17"/>
        <v>5</v>
      </c>
    </row>
    <row r="364" spans="1:14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t="str">
        <f t="shared" si="15"/>
        <v>ARJUN</v>
      </c>
      <c r="M364" t="str">
        <f t="shared" si="16"/>
        <v>printer</v>
      </c>
      <c r="N364">
        <f t="shared" si="17"/>
        <v>7</v>
      </c>
    </row>
    <row r="365" spans="1:14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t="str">
        <f t="shared" si="15"/>
        <v>NEHA</v>
      </c>
      <c r="M365" t="str">
        <f t="shared" si="16"/>
        <v>cabinet</v>
      </c>
      <c r="N365">
        <f t="shared" si="17"/>
        <v>7</v>
      </c>
    </row>
    <row r="366" spans="1:14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t="str">
        <f t="shared" si="15"/>
        <v>KIRAN</v>
      </c>
      <c r="M366" t="str">
        <f t="shared" si="16"/>
        <v>marker</v>
      </c>
      <c r="N366">
        <f t="shared" si="17"/>
        <v>6</v>
      </c>
    </row>
    <row r="367" spans="1:14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t="str">
        <f t="shared" si="15"/>
        <v>VIKRAM</v>
      </c>
      <c r="M367" t="str">
        <f t="shared" si="16"/>
        <v>mouse</v>
      </c>
      <c r="N367">
        <f t="shared" si="17"/>
        <v>5</v>
      </c>
    </row>
    <row r="368" spans="1:14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t="str">
        <f t="shared" si="15"/>
        <v>MANOJ</v>
      </c>
      <c r="M368" t="str">
        <f t="shared" si="16"/>
        <v>diary</v>
      </c>
      <c r="N368">
        <f t="shared" si="17"/>
        <v>5</v>
      </c>
    </row>
    <row r="369" spans="1:14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t="str">
        <f t="shared" si="15"/>
        <v>SNEHA</v>
      </c>
      <c r="M369" t="str">
        <f t="shared" si="16"/>
        <v>stapler</v>
      </c>
      <c r="N369">
        <f t="shared" si="17"/>
        <v>7</v>
      </c>
    </row>
    <row r="370" spans="1:14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t="str">
        <f t="shared" si="15"/>
        <v>SARA</v>
      </c>
      <c r="M370" t="str">
        <f t="shared" si="16"/>
        <v>desk</v>
      </c>
      <c r="N370">
        <f t="shared" si="17"/>
        <v>4</v>
      </c>
    </row>
    <row r="371" spans="1:14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t="str">
        <f t="shared" si="15"/>
        <v>ANITA</v>
      </c>
      <c r="M371" t="str">
        <f t="shared" si="16"/>
        <v>diary</v>
      </c>
      <c r="N371">
        <f t="shared" si="17"/>
        <v>5</v>
      </c>
    </row>
    <row r="372" spans="1:14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t="str">
        <f t="shared" si="15"/>
        <v>NITIN</v>
      </c>
      <c r="M372" t="str">
        <f t="shared" si="16"/>
        <v>desk</v>
      </c>
      <c r="N372">
        <f t="shared" si="17"/>
        <v>4</v>
      </c>
    </row>
    <row r="373" spans="1:14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t="str">
        <f t="shared" si="15"/>
        <v>NITIN</v>
      </c>
      <c r="M373" t="str">
        <f t="shared" si="16"/>
        <v>keyboard</v>
      </c>
      <c r="N373">
        <f t="shared" si="17"/>
        <v>8</v>
      </c>
    </row>
    <row r="374" spans="1:14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t="str">
        <f t="shared" si="15"/>
        <v>MANOJ</v>
      </c>
      <c r="M374" t="str">
        <f t="shared" si="16"/>
        <v>laptop</v>
      </c>
      <c r="N374">
        <f t="shared" si="17"/>
        <v>6</v>
      </c>
    </row>
    <row r="375" spans="1:14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t="str">
        <f t="shared" si="15"/>
        <v>SARA</v>
      </c>
      <c r="M375" t="str">
        <f t="shared" si="16"/>
        <v>printer</v>
      </c>
      <c r="N375">
        <f t="shared" si="17"/>
        <v>7</v>
      </c>
    </row>
    <row r="376" spans="1:14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t="str">
        <f t="shared" si="15"/>
        <v>KIRAN</v>
      </c>
      <c r="M376" t="str">
        <f t="shared" si="16"/>
        <v>monitor</v>
      </c>
      <c r="N376">
        <f t="shared" si="17"/>
        <v>7</v>
      </c>
    </row>
    <row r="377" spans="1:14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t="str">
        <f t="shared" si="15"/>
        <v>KOMAL</v>
      </c>
      <c r="M377" t="str">
        <f t="shared" si="16"/>
        <v>marker</v>
      </c>
      <c r="N377">
        <f t="shared" si="17"/>
        <v>6</v>
      </c>
    </row>
    <row r="378" spans="1:14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t="str">
        <f t="shared" si="15"/>
        <v>ASHA</v>
      </c>
      <c r="M378" t="str">
        <f t="shared" si="16"/>
        <v>desk</v>
      </c>
      <c r="N378">
        <f t="shared" si="17"/>
        <v>4</v>
      </c>
    </row>
    <row r="379" spans="1:14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t="str">
        <f t="shared" si="15"/>
        <v>SNEHA</v>
      </c>
      <c r="M379" t="str">
        <f t="shared" si="16"/>
        <v>monitor</v>
      </c>
      <c r="N379">
        <f t="shared" si="17"/>
        <v>7</v>
      </c>
    </row>
    <row r="380" spans="1:14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t="str">
        <f t="shared" si="15"/>
        <v>YASH</v>
      </c>
      <c r="M380" t="str">
        <f t="shared" si="16"/>
        <v>notebook</v>
      </c>
      <c r="N380">
        <f t="shared" si="17"/>
        <v>8</v>
      </c>
    </row>
    <row r="381" spans="1:14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t="str">
        <f t="shared" si="15"/>
        <v>KOMAL</v>
      </c>
      <c r="M381" t="str">
        <f t="shared" si="16"/>
        <v>diary</v>
      </c>
      <c r="N381">
        <f t="shared" si="17"/>
        <v>5</v>
      </c>
    </row>
    <row r="382" spans="1:14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t="str">
        <f t="shared" si="15"/>
        <v>SNEHA</v>
      </c>
      <c r="M382" t="str">
        <f t="shared" si="16"/>
        <v>chair</v>
      </c>
      <c r="N382">
        <f t="shared" si="17"/>
        <v>5</v>
      </c>
    </row>
    <row r="383" spans="1:14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t="str">
        <f t="shared" si="15"/>
        <v>AJAY</v>
      </c>
      <c r="M383" t="str">
        <f t="shared" si="16"/>
        <v>laptop</v>
      </c>
      <c r="N383">
        <f t="shared" si="17"/>
        <v>6</v>
      </c>
    </row>
    <row r="384" spans="1:14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t="str">
        <f t="shared" si="15"/>
        <v>ASHA</v>
      </c>
      <c r="M384" t="str">
        <f t="shared" si="16"/>
        <v>diary</v>
      </c>
      <c r="N384">
        <f t="shared" si="17"/>
        <v>5</v>
      </c>
    </row>
    <row r="385" spans="1:14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t="str">
        <f t="shared" si="15"/>
        <v>ANITA</v>
      </c>
      <c r="M385" t="str">
        <f t="shared" si="16"/>
        <v>keyboard</v>
      </c>
      <c r="N385">
        <f t="shared" si="17"/>
        <v>8</v>
      </c>
    </row>
    <row r="386" spans="1:14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t="str">
        <f t="shared" si="15"/>
        <v>VIKRAM</v>
      </c>
      <c r="M386" t="str">
        <f t="shared" si="16"/>
        <v>keyboard</v>
      </c>
      <c r="N386">
        <f t="shared" si="17"/>
        <v>8</v>
      </c>
    </row>
    <row r="387" spans="1:14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t="str">
        <f t="shared" ref="L387:L401" si="18">UPPER(B387)</f>
        <v>ARJUN</v>
      </c>
      <c r="M387" t="str">
        <f t="shared" ref="M387:M401" si="19">LOWER(E387)</f>
        <v>chair</v>
      </c>
      <c r="N387">
        <f t="shared" ref="N387:N401" si="20">LEN(E387)</f>
        <v>5</v>
      </c>
    </row>
    <row r="388" spans="1:14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t="str">
        <f t="shared" si="18"/>
        <v>MANOJ</v>
      </c>
      <c r="M388" t="str">
        <f t="shared" si="19"/>
        <v>printer</v>
      </c>
      <c r="N388">
        <f t="shared" si="20"/>
        <v>7</v>
      </c>
    </row>
    <row r="389" spans="1:14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t="str">
        <f t="shared" si="18"/>
        <v>SNEHA</v>
      </c>
      <c r="M389" t="str">
        <f t="shared" si="19"/>
        <v>chair</v>
      </c>
      <c r="N389">
        <f t="shared" si="20"/>
        <v>5</v>
      </c>
    </row>
    <row r="390" spans="1:14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t="str">
        <f t="shared" si="18"/>
        <v>ASHA</v>
      </c>
      <c r="M390" t="str">
        <f t="shared" si="19"/>
        <v>headset</v>
      </c>
      <c r="N390">
        <f t="shared" si="20"/>
        <v>7</v>
      </c>
    </row>
    <row r="391" spans="1:14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t="str">
        <f t="shared" si="18"/>
        <v>ROHAN</v>
      </c>
      <c r="M391" t="str">
        <f t="shared" si="19"/>
        <v>desk</v>
      </c>
      <c r="N391">
        <f t="shared" si="20"/>
        <v>4</v>
      </c>
    </row>
    <row r="392" spans="1:14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t="str">
        <f t="shared" si="18"/>
        <v>NEHA</v>
      </c>
      <c r="M392" t="str">
        <f t="shared" si="19"/>
        <v>printer</v>
      </c>
      <c r="N392">
        <f t="shared" si="20"/>
        <v>7</v>
      </c>
    </row>
    <row r="393" spans="1:14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t="str">
        <f t="shared" si="18"/>
        <v>PRIYA</v>
      </c>
      <c r="M393" t="str">
        <f t="shared" si="19"/>
        <v>printer</v>
      </c>
      <c r="N393">
        <f t="shared" si="20"/>
        <v>7</v>
      </c>
    </row>
    <row r="394" spans="1:14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t="str">
        <f t="shared" si="18"/>
        <v>NEHA</v>
      </c>
      <c r="M394" t="str">
        <f t="shared" si="19"/>
        <v>monitor</v>
      </c>
      <c r="N394">
        <f t="shared" si="20"/>
        <v>7</v>
      </c>
    </row>
    <row r="395" spans="1:14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t="str">
        <f t="shared" si="18"/>
        <v>MANOJ</v>
      </c>
      <c r="M395" t="str">
        <f t="shared" si="19"/>
        <v>notebook</v>
      </c>
      <c r="N395">
        <f t="shared" si="20"/>
        <v>8</v>
      </c>
    </row>
    <row r="396" spans="1:14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t="str">
        <f t="shared" si="18"/>
        <v>MANOJ</v>
      </c>
      <c r="M396" t="str">
        <f t="shared" si="19"/>
        <v>bookshelf</v>
      </c>
      <c r="N396">
        <f t="shared" si="20"/>
        <v>9</v>
      </c>
    </row>
    <row r="397" spans="1:14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t="str">
        <f t="shared" si="18"/>
        <v>MEERA</v>
      </c>
      <c r="M397" t="str">
        <f t="shared" si="19"/>
        <v>diary</v>
      </c>
      <c r="N397">
        <f t="shared" si="20"/>
        <v>5</v>
      </c>
    </row>
    <row r="398" spans="1:14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t="str">
        <f t="shared" si="18"/>
        <v>MEERA</v>
      </c>
      <c r="M398" t="str">
        <f t="shared" si="19"/>
        <v>table</v>
      </c>
      <c r="N398">
        <f t="shared" si="20"/>
        <v>5</v>
      </c>
    </row>
    <row r="399" spans="1:14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t="str">
        <f t="shared" si="18"/>
        <v>ROHAN</v>
      </c>
      <c r="M399" t="str">
        <f t="shared" si="19"/>
        <v>keyboard</v>
      </c>
      <c r="N399">
        <f t="shared" si="20"/>
        <v>8</v>
      </c>
    </row>
    <row r="400" spans="1:14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t="str">
        <f t="shared" si="18"/>
        <v>NITIN</v>
      </c>
      <c r="M400" t="str">
        <f t="shared" si="19"/>
        <v>notebook</v>
      </c>
      <c r="N400">
        <f t="shared" si="20"/>
        <v>8</v>
      </c>
    </row>
    <row r="401" spans="1:14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t="str">
        <f t="shared" si="18"/>
        <v>DEEPAK</v>
      </c>
      <c r="M401" t="str">
        <f t="shared" si="19"/>
        <v>printer</v>
      </c>
      <c r="N401">
        <f t="shared" si="20"/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78E1-472E-45EA-B05E-B6BB39BC4537}">
  <dimension ref="A1:P401"/>
  <sheetViews>
    <sheetView topLeftCell="A375" workbookViewId="0">
      <selection activeCell="P2" sqref="P2:P40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4.21875" customWidth="1"/>
    <col min="13" max="13" width="17.5546875" customWidth="1"/>
    <col min="14" max="14" width="14" customWidth="1"/>
    <col min="15" max="15" width="10.5546875" customWidth="1"/>
    <col min="16" max="16" width="11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79</v>
      </c>
      <c r="M1" t="s">
        <v>80</v>
      </c>
      <c r="N1" t="s">
        <v>82</v>
      </c>
      <c r="O1" t="s">
        <v>81</v>
      </c>
      <c r="P1" t="s">
        <v>83</v>
      </c>
    </row>
    <row r="2" spans="1:16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  <c r="L2" s="3">
        <f ca="1">TODAY()</f>
        <v>46288</v>
      </c>
      <c r="M2" s="12">
        <f ca="1">NOW()</f>
        <v>46288.803137615738</v>
      </c>
      <c r="N2">
        <f>DATEDIF(I2, J2, "D")</f>
        <v>2</v>
      </c>
      <c r="O2">
        <f ca="1">DATEDIF(I2, TODAY(), "d")</f>
        <v>207</v>
      </c>
      <c r="P2" s="3">
        <f>DATE(2026, 4, 1)</f>
        <v>46113</v>
      </c>
    </row>
    <row r="3" spans="1:16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  <c r="L3" s="3">
        <f t="shared" ref="L3:L66" ca="1" si="0">TODAY()</f>
        <v>46288</v>
      </c>
      <c r="M3" s="12">
        <f t="shared" ref="M3:M66" ca="1" si="1">NOW()</f>
        <v>46288.803137615738</v>
      </c>
      <c r="N3">
        <f t="shared" ref="N3:N66" si="2">DATEDIF(I3, J3, "D")</f>
        <v>5</v>
      </c>
      <c r="O3">
        <f t="shared" ref="O3:O66" ca="1" si="3">DATEDIF(I3, TODAY(), "d")</f>
        <v>114</v>
      </c>
      <c r="P3" s="3">
        <f t="shared" ref="P3:P66" si="4">DATE(2026, 4, 1)</f>
        <v>46113</v>
      </c>
    </row>
    <row r="4" spans="1:16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  <c r="L4" s="3">
        <f t="shared" ca="1" si="0"/>
        <v>46288</v>
      </c>
      <c r="M4" s="12">
        <f t="shared" ca="1" si="1"/>
        <v>46288.803137615738</v>
      </c>
      <c r="N4">
        <f t="shared" si="2"/>
        <v>9</v>
      </c>
      <c r="O4">
        <f t="shared" ca="1" si="3"/>
        <v>105</v>
      </c>
      <c r="P4" s="3">
        <f t="shared" si="4"/>
        <v>46113</v>
      </c>
    </row>
    <row r="5" spans="1:16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  <c r="L5" s="3">
        <f t="shared" ca="1" si="0"/>
        <v>46288</v>
      </c>
      <c r="M5" s="12">
        <f t="shared" ca="1" si="1"/>
        <v>46288.803137615738</v>
      </c>
      <c r="N5">
        <f t="shared" si="2"/>
        <v>6</v>
      </c>
      <c r="O5">
        <f t="shared" ca="1" si="3"/>
        <v>254</v>
      </c>
      <c r="P5" s="3">
        <f t="shared" si="4"/>
        <v>46113</v>
      </c>
    </row>
    <row r="6" spans="1:16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  <c r="L6" s="3">
        <f t="shared" ca="1" si="0"/>
        <v>46288</v>
      </c>
      <c r="M6" s="12">
        <f t="shared" ca="1" si="1"/>
        <v>46288.803137615738</v>
      </c>
      <c r="N6">
        <f t="shared" si="2"/>
        <v>8</v>
      </c>
      <c r="O6">
        <f t="shared" ca="1" si="3"/>
        <v>117</v>
      </c>
      <c r="P6" s="3">
        <f t="shared" si="4"/>
        <v>46113</v>
      </c>
    </row>
    <row r="7" spans="1:16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  <c r="L7" s="3">
        <f t="shared" ca="1" si="0"/>
        <v>46288</v>
      </c>
      <c r="M7" s="12">
        <f t="shared" ca="1" si="1"/>
        <v>46288.803137615738</v>
      </c>
      <c r="N7">
        <f t="shared" si="2"/>
        <v>7</v>
      </c>
      <c r="O7">
        <f t="shared" ca="1" si="3"/>
        <v>233</v>
      </c>
      <c r="P7" s="3">
        <f t="shared" si="4"/>
        <v>46113</v>
      </c>
    </row>
    <row r="8" spans="1:16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  <c r="L8" s="3">
        <f t="shared" ca="1" si="0"/>
        <v>46288</v>
      </c>
      <c r="M8" s="12">
        <f t="shared" ca="1" si="1"/>
        <v>46288.803137615738</v>
      </c>
      <c r="N8">
        <f t="shared" si="2"/>
        <v>6</v>
      </c>
      <c r="O8">
        <f t="shared" ca="1" si="3"/>
        <v>126</v>
      </c>
      <c r="P8" s="3">
        <f t="shared" si="4"/>
        <v>46113</v>
      </c>
    </row>
    <row r="9" spans="1:16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  <c r="L9" s="3">
        <f t="shared" ca="1" si="0"/>
        <v>46288</v>
      </c>
      <c r="M9" s="12">
        <f t="shared" ca="1" si="1"/>
        <v>46288.803137615738</v>
      </c>
      <c r="N9">
        <f t="shared" si="2"/>
        <v>8</v>
      </c>
      <c r="O9">
        <f t="shared" ca="1" si="3"/>
        <v>255</v>
      </c>
      <c r="P9" s="3">
        <f t="shared" si="4"/>
        <v>46113</v>
      </c>
    </row>
    <row r="10" spans="1:16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  <c r="L10" s="3">
        <f t="shared" ca="1" si="0"/>
        <v>46288</v>
      </c>
      <c r="M10" s="12">
        <f t="shared" ca="1" si="1"/>
        <v>46288.803137615738</v>
      </c>
      <c r="N10">
        <f t="shared" si="2"/>
        <v>10</v>
      </c>
      <c r="O10">
        <f t="shared" ca="1" si="3"/>
        <v>105</v>
      </c>
      <c r="P10" s="3">
        <f t="shared" si="4"/>
        <v>46113</v>
      </c>
    </row>
    <row r="11" spans="1:16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  <c r="L11" s="3">
        <f t="shared" ca="1" si="0"/>
        <v>46288</v>
      </c>
      <c r="M11" s="12">
        <f t="shared" ca="1" si="1"/>
        <v>46288.803137615738</v>
      </c>
      <c r="N11">
        <f t="shared" si="2"/>
        <v>6</v>
      </c>
      <c r="O11">
        <f t="shared" ca="1" si="3"/>
        <v>226</v>
      </c>
      <c r="P11" s="3">
        <f t="shared" si="4"/>
        <v>46113</v>
      </c>
    </row>
    <row r="12" spans="1:16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  <c r="L12" s="3">
        <f t="shared" ca="1" si="0"/>
        <v>46288</v>
      </c>
      <c r="M12" s="12">
        <f t="shared" ca="1" si="1"/>
        <v>46288.803137615738</v>
      </c>
      <c r="N12">
        <f t="shared" si="2"/>
        <v>2</v>
      </c>
      <c r="O12">
        <f t="shared" ca="1" si="3"/>
        <v>127</v>
      </c>
      <c r="P12" s="3">
        <f t="shared" si="4"/>
        <v>46113</v>
      </c>
    </row>
    <row r="13" spans="1:16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  <c r="L13" s="3">
        <f t="shared" ca="1" si="0"/>
        <v>46288</v>
      </c>
      <c r="M13" s="12">
        <f t="shared" ca="1" si="1"/>
        <v>46288.803137615738</v>
      </c>
      <c r="N13">
        <f t="shared" si="2"/>
        <v>9</v>
      </c>
      <c r="O13">
        <f t="shared" ca="1" si="3"/>
        <v>202</v>
      </c>
      <c r="P13" s="3">
        <f t="shared" si="4"/>
        <v>46113</v>
      </c>
    </row>
    <row r="14" spans="1:16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  <c r="L14" s="3">
        <f t="shared" ca="1" si="0"/>
        <v>46288</v>
      </c>
      <c r="M14" s="12">
        <f t="shared" ca="1" si="1"/>
        <v>46288.803137615738</v>
      </c>
      <c r="N14">
        <f t="shared" si="2"/>
        <v>10</v>
      </c>
      <c r="O14">
        <f t="shared" ca="1" si="3"/>
        <v>193</v>
      </c>
      <c r="P14" s="3">
        <f t="shared" si="4"/>
        <v>46113</v>
      </c>
    </row>
    <row r="15" spans="1:16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  <c r="L15" s="3">
        <f t="shared" ca="1" si="0"/>
        <v>46288</v>
      </c>
      <c r="M15" s="12">
        <f t="shared" ca="1" si="1"/>
        <v>46288.803137615738</v>
      </c>
      <c r="N15">
        <f t="shared" si="2"/>
        <v>5</v>
      </c>
      <c r="O15">
        <f t="shared" ca="1" si="3"/>
        <v>159</v>
      </c>
      <c r="P15" s="3">
        <f t="shared" si="4"/>
        <v>46113</v>
      </c>
    </row>
    <row r="16" spans="1:16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  <c r="L16" s="3">
        <f t="shared" ca="1" si="0"/>
        <v>46288</v>
      </c>
      <c r="M16" s="12">
        <f t="shared" ca="1" si="1"/>
        <v>46288.803137615738</v>
      </c>
      <c r="N16">
        <f t="shared" si="2"/>
        <v>10</v>
      </c>
      <c r="O16">
        <f t="shared" ca="1" si="3"/>
        <v>113</v>
      </c>
      <c r="P16" s="3">
        <f t="shared" si="4"/>
        <v>46113</v>
      </c>
    </row>
    <row r="17" spans="1:16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  <c r="L17" s="3">
        <f t="shared" ca="1" si="0"/>
        <v>46288</v>
      </c>
      <c r="M17" s="12">
        <f t="shared" ca="1" si="1"/>
        <v>46288.803137615738</v>
      </c>
      <c r="N17">
        <f t="shared" si="2"/>
        <v>3</v>
      </c>
      <c r="O17">
        <f t="shared" ca="1" si="3"/>
        <v>151</v>
      </c>
      <c r="P17" s="3">
        <f t="shared" si="4"/>
        <v>46113</v>
      </c>
    </row>
    <row r="18" spans="1:16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  <c r="L18" s="3">
        <f t="shared" ca="1" si="0"/>
        <v>46288</v>
      </c>
      <c r="M18" s="12">
        <f t="shared" ca="1" si="1"/>
        <v>46288.803137615738</v>
      </c>
      <c r="N18">
        <f t="shared" si="2"/>
        <v>2</v>
      </c>
      <c r="O18">
        <f t="shared" ca="1" si="3"/>
        <v>206</v>
      </c>
      <c r="P18" s="3">
        <f t="shared" si="4"/>
        <v>46113</v>
      </c>
    </row>
    <row r="19" spans="1:16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  <c r="L19" s="3">
        <f t="shared" ca="1" si="0"/>
        <v>46288</v>
      </c>
      <c r="M19" s="12">
        <f t="shared" ca="1" si="1"/>
        <v>46288.803137615738</v>
      </c>
      <c r="N19">
        <f t="shared" si="2"/>
        <v>5</v>
      </c>
      <c r="O19">
        <f t="shared" ca="1" si="3"/>
        <v>199</v>
      </c>
      <c r="P19" s="3">
        <f t="shared" si="4"/>
        <v>46113</v>
      </c>
    </row>
    <row r="20" spans="1:16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  <c r="L20" s="3">
        <f t="shared" ca="1" si="0"/>
        <v>46288</v>
      </c>
      <c r="M20" s="12">
        <f t="shared" ca="1" si="1"/>
        <v>46288.803137615738</v>
      </c>
      <c r="N20">
        <f t="shared" si="2"/>
        <v>7</v>
      </c>
      <c r="O20">
        <f t="shared" ca="1" si="3"/>
        <v>265</v>
      </c>
      <c r="P20" s="3">
        <f t="shared" si="4"/>
        <v>46113</v>
      </c>
    </row>
    <row r="21" spans="1:16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  <c r="L21" s="3">
        <f t="shared" ca="1" si="0"/>
        <v>46288</v>
      </c>
      <c r="M21" s="12">
        <f t="shared" ca="1" si="1"/>
        <v>46288.803137615738</v>
      </c>
      <c r="N21">
        <f t="shared" si="2"/>
        <v>5</v>
      </c>
      <c r="O21">
        <f t="shared" ca="1" si="3"/>
        <v>210</v>
      </c>
      <c r="P21" s="3">
        <f t="shared" si="4"/>
        <v>46113</v>
      </c>
    </row>
    <row r="22" spans="1:16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  <c r="L22" s="3">
        <f t="shared" ca="1" si="0"/>
        <v>46288</v>
      </c>
      <c r="M22" s="12">
        <f t="shared" ca="1" si="1"/>
        <v>46288.803137615738</v>
      </c>
      <c r="N22">
        <f t="shared" si="2"/>
        <v>4</v>
      </c>
      <c r="O22">
        <f t="shared" ca="1" si="3"/>
        <v>144</v>
      </c>
      <c r="P22" s="3">
        <f t="shared" si="4"/>
        <v>46113</v>
      </c>
    </row>
    <row r="23" spans="1:16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  <c r="L23" s="3">
        <f t="shared" ca="1" si="0"/>
        <v>46288</v>
      </c>
      <c r="M23" s="12">
        <f t="shared" ca="1" si="1"/>
        <v>46288.803137615738</v>
      </c>
      <c r="N23">
        <f t="shared" si="2"/>
        <v>4</v>
      </c>
      <c r="O23">
        <f t="shared" ca="1" si="3"/>
        <v>171</v>
      </c>
      <c r="P23" s="3">
        <f t="shared" si="4"/>
        <v>46113</v>
      </c>
    </row>
    <row r="24" spans="1:16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  <c r="L24" s="3">
        <f t="shared" ca="1" si="0"/>
        <v>46288</v>
      </c>
      <c r="M24" s="12">
        <f t="shared" ca="1" si="1"/>
        <v>46288.803137615738</v>
      </c>
      <c r="N24">
        <f t="shared" si="2"/>
        <v>1</v>
      </c>
      <c r="O24">
        <f t="shared" ca="1" si="3"/>
        <v>95</v>
      </c>
      <c r="P24" s="3">
        <f t="shared" si="4"/>
        <v>46113</v>
      </c>
    </row>
    <row r="25" spans="1:16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  <c r="L25" s="3">
        <f t="shared" ca="1" si="0"/>
        <v>46288</v>
      </c>
      <c r="M25" s="12">
        <f t="shared" ca="1" si="1"/>
        <v>46288.803137615738</v>
      </c>
      <c r="N25">
        <f t="shared" si="2"/>
        <v>4</v>
      </c>
      <c r="O25">
        <f t="shared" ca="1" si="3"/>
        <v>127</v>
      </c>
      <c r="P25" s="3">
        <f t="shared" si="4"/>
        <v>46113</v>
      </c>
    </row>
    <row r="26" spans="1:16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  <c r="L26" s="3">
        <f t="shared" ca="1" si="0"/>
        <v>46288</v>
      </c>
      <c r="M26" s="12">
        <f t="shared" ca="1" si="1"/>
        <v>46288.803137615738</v>
      </c>
      <c r="N26">
        <f t="shared" si="2"/>
        <v>6</v>
      </c>
      <c r="O26">
        <f t="shared" ca="1" si="3"/>
        <v>113</v>
      </c>
      <c r="P26" s="3">
        <f t="shared" si="4"/>
        <v>46113</v>
      </c>
    </row>
    <row r="27" spans="1:16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  <c r="L27" s="3">
        <f t="shared" ca="1" si="0"/>
        <v>46288</v>
      </c>
      <c r="M27" s="12">
        <f t="shared" ca="1" si="1"/>
        <v>46288.803137615738</v>
      </c>
      <c r="N27">
        <f t="shared" si="2"/>
        <v>1</v>
      </c>
      <c r="O27">
        <f t="shared" ca="1" si="3"/>
        <v>249</v>
      </c>
      <c r="P27" s="3">
        <f t="shared" si="4"/>
        <v>46113</v>
      </c>
    </row>
    <row r="28" spans="1:16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  <c r="L28" s="3">
        <f t="shared" ca="1" si="0"/>
        <v>46288</v>
      </c>
      <c r="M28" s="12">
        <f t="shared" ca="1" si="1"/>
        <v>46288.803137615738</v>
      </c>
      <c r="N28">
        <f t="shared" si="2"/>
        <v>6</v>
      </c>
      <c r="O28">
        <f t="shared" ca="1" si="3"/>
        <v>133</v>
      </c>
      <c r="P28" s="3">
        <f t="shared" si="4"/>
        <v>46113</v>
      </c>
    </row>
    <row r="29" spans="1:16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  <c r="L29" s="3">
        <f t="shared" ca="1" si="0"/>
        <v>46288</v>
      </c>
      <c r="M29" s="12">
        <f t="shared" ca="1" si="1"/>
        <v>46288.803137615738</v>
      </c>
      <c r="N29">
        <f t="shared" si="2"/>
        <v>5</v>
      </c>
      <c r="O29">
        <f t="shared" ca="1" si="3"/>
        <v>172</v>
      </c>
      <c r="P29" s="3">
        <f t="shared" si="4"/>
        <v>46113</v>
      </c>
    </row>
    <row r="30" spans="1:16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  <c r="L30" s="3">
        <f t="shared" ca="1" si="0"/>
        <v>46288</v>
      </c>
      <c r="M30" s="12">
        <f t="shared" ca="1" si="1"/>
        <v>46288.803137615738</v>
      </c>
      <c r="N30">
        <f t="shared" si="2"/>
        <v>8</v>
      </c>
      <c r="O30">
        <f t="shared" ca="1" si="3"/>
        <v>242</v>
      </c>
      <c r="P30" s="3">
        <f t="shared" si="4"/>
        <v>46113</v>
      </c>
    </row>
    <row r="31" spans="1:16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  <c r="L31" s="3">
        <f t="shared" ca="1" si="0"/>
        <v>46288</v>
      </c>
      <c r="M31" s="12">
        <f t="shared" ca="1" si="1"/>
        <v>46288.803137615738</v>
      </c>
      <c r="N31">
        <f t="shared" si="2"/>
        <v>10</v>
      </c>
      <c r="O31">
        <f t="shared" ca="1" si="3"/>
        <v>190</v>
      </c>
      <c r="P31" s="3">
        <f t="shared" si="4"/>
        <v>46113</v>
      </c>
    </row>
    <row r="32" spans="1:16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  <c r="L32" s="3">
        <f t="shared" ca="1" si="0"/>
        <v>46288</v>
      </c>
      <c r="M32" s="12">
        <f t="shared" ca="1" si="1"/>
        <v>46288.803137615738</v>
      </c>
      <c r="N32">
        <f t="shared" si="2"/>
        <v>4</v>
      </c>
      <c r="O32">
        <f t="shared" ca="1" si="3"/>
        <v>199</v>
      </c>
      <c r="P32" s="3">
        <f t="shared" si="4"/>
        <v>46113</v>
      </c>
    </row>
    <row r="33" spans="1:16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  <c r="L33" s="3">
        <f t="shared" ca="1" si="0"/>
        <v>46288</v>
      </c>
      <c r="M33" s="12">
        <f t="shared" ca="1" si="1"/>
        <v>46288.803137615738</v>
      </c>
      <c r="N33">
        <f t="shared" si="2"/>
        <v>2</v>
      </c>
      <c r="O33">
        <f t="shared" ca="1" si="3"/>
        <v>125</v>
      </c>
      <c r="P33" s="3">
        <f t="shared" si="4"/>
        <v>46113</v>
      </c>
    </row>
    <row r="34" spans="1:16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  <c r="L34" s="3">
        <f t="shared" ca="1" si="0"/>
        <v>46288</v>
      </c>
      <c r="M34" s="12">
        <f t="shared" ca="1" si="1"/>
        <v>46288.803137615738</v>
      </c>
      <c r="N34">
        <f t="shared" si="2"/>
        <v>2</v>
      </c>
      <c r="O34">
        <f t="shared" ca="1" si="3"/>
        <v>206</v>
      </c>
      <c r="P34" s="3">
        <f t="shared" si="4"/>
        <v>46113</v>
      </c>
    </row>
    <row r="35" spans="1:16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  <c r="L35" s="3">
        <f t="shared" ca="1" si="0"/>
        <v>46288</v>
      </c>
      <c r="M35" s="12">
        <f t="shared" ca="1" si="1"/>
        <v>46288.803137615738</v>
      </c>
      <c r="N35">
        <f t="shared" si="2"/>
        <v>9</v>
      </c>
      <c r="O35">
        <f t="shared" ca="1" si="3"/>
        <v>236</v>
      </c>
      <c r="P35" s="3">
        <f t="shared" si="4"/>
        <v>46113</v>
      </c>
    </row>
    <row r="36" spans="1:16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  <c r="L36" s="3">
        <f t="shared" ca="1" si="0"/>
        <v>46288</v>
      </c>
      <c r="M36" s="12">
        <f t="shared" ca="1" si="1"/>
        <v>46288.803137615738</v>
      </c>
      <c r="N36">
        <f t="shared" si="2"/>
        <v>3</v>
      </c>
      <c r="O36">
        <f t="shared" ca="1" si="3"/>
        <v>257</v>
      </c>
      <c r="P36" s="3">
        <f t="shared" si="4"/>
        <v>46113</v>
      </c>
    </row>
    <row r="37" spans="1:16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  <c r="L37" s="3">
        <f t="shared" ca="1" si="0"/>
        <v>46288</v>
      </c>
      <c r="M37" s="12">
        <f t="shared" ca="1" si="1"/>
        <v>46288.803137615738</v>
      </c>
      <c r="N37">
        <f t="shared" si="2"/>
        <v>6</v>
      </c>
      <c r="O37">
        <f t="shared" ca="1" si="3"/>
        <v>217</v>
      </c>
      <c r="P37" s="3">
        <f t="shared" si="4"/>
        <v>46113</v>
      </c>
    </row>
    <row r="38" spans="1:16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  <c r="L38" s="3">
        <f t="shared" ca="1" si="0"/>
        <v>46288</v>
      </c>
      <c r="M38" s="12">
        <f t="shared" ca="1" si="1"/>
        <v>46288.803137615738</v>
      </c>
      <c r="N38">
        <f t="shared" si="2"/>
        <v>10</v>
      </c>
      <c r="O38">
        <f t="shared" ca="1" si="3"/>
        <v>255</v>
      </c>
      <c r="P38" s="3">
        <f t="shared" si="4"/>
        <v>46113</v>
      </c>
    </row>
    <row r="39" spans="1:16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  <c r="L39" s="3">
        <f t="shared" ca="1" si="0"/>
        <v>46288</v>
      </c>
      <c r="M39" s="12">
        <f t="shared" ca="1" si="1"/>
        <v>46288.803137615738</v>
      </c>
      <c r="N39">
        <f t="shared" si="2"/>
        <v>1</v>
      </c>
      <c r="O39">
        <f t="shared" ca="1" si="3"/>
        <v>258</v>
      </c>
      <c r="P39" s="3">
        <f t="shared" si="4"/>
        <v>46113</v>
      </c>
    </row>
    <row r="40" spans="1:16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  <c r="L40" s="3">
        <f t="shared" ca="1" si="0"/>
        <v>46288</v>
      </c>
      <c r="M40" s="12">
        <f t="shared" ca="1" si="1"/>
        <v>46288.803137615738</v>
      </c>
      <c r="N40">
        <f t="shared" si="2"/>
        <v>3</v>
      </c>
      <c r="O40">
        <f t="shared" ca="1" si="3"/>
        <v>181</v>
      </c>
      <c r="P40" s="3">
        <f t="shared" si="4"/>
        <v>46113</v>
      </c>
    </row>
    <row r="41" spans="1:16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  <c r="L41" s="3">
        <f t="shared" ca="1" si="0"/>
        <v>46288</v>
      </c>
      <c r="M41" s="12">
        <f t="shared" ca="1" si="1"/>
        <v>46288.803137615738</v>
      </c>
      <c r="N41">
        <f t="shared" si="2"/>
        <v>7</v>
      </c>
      <c r="O41">
        <f t="shared" ca="1" si="3"/>
        <v>117</v>
      </c>
      <c r="P41" s="3">
        <f t="shared" si="4"/>
        <v>46113</v>
      </c>
    </row>
    <row r="42" spans="1:16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  <c r="L42" s="3">
        <f t="shared" ca="1" si="0"/>
        <v>46288</v>
      </c>
      <c r="M42" s="12">
        <f t="shared" ca="1" si="1"/>
        <v>46288.803137615738</v>
      </c>
      <c r="N42">
        <f t="shared" si="2"/>
        <v>3</v>
      </c>
      <c r="O42">
        <f t="shared" ca="1" si="3"/>
        <v>103</v>
      </c>
      <c r="P42" s="3">
        <f t="shared" si="4"/>
        <v>46113</v>
      </c>
    </row>
    <row r="43" spans="1:16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  <c r="L43" s="3">
        <f t="shared" ca="1" si="0"/>
        <v>46288</v>
      </c>
      <c r="M43" s="12">
        <f t="shared" ca="1" si="1"/>
        <v>46288.803137615738</v>
      </c>
      <c r="N43">
        <f t="shared" si="2"/>
        <v>7</v>
      </c>
      <c r="O43">
        <f t="shared" ca="1" si="3"/>
        <v>207</v>
      </c>
      <c r="P43" s="3">
        <f t="shared" si="4"/>
        <v>46113</v>
      </c>
    </row>
    <row r="44" spans="1:16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  <c r="L44" s="3">
        <f t="shared" ca="1" si="0"/>
        <v>46288</v>
      </c>
      <c r="M44" s="12">
        <f t="shared" ca="1" si="1"/>
        <v>46288.803137615738</v>
      </c>
      <c r="N44">
        <f t="shared" si="2"/>
        <v>7</v>
      </c>
      <c r="O44">
        <f t="shared" ca="1" si="3"/>
        <v>197</v>
      </c>
      <c r="P44" s="3">
        <f t="shared" si="4"/>
        <v>46113</v>
      </c>
    </row>
    <row r="45" spans="1:16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  <c r="L45" s="3">
        <f t="shared" ca="1" si="0"/>
        <v>46288</v>
      </c>
      <c r="M45" s="12">
        <f t="shared" ca="1" si="1"/>
        <v>46288.803137615738</v>
      </c>
      <c r="N45">
        <f t="shared" si="2"/>
        <v>3</v>
      </c>
      <c r="O45">
        <f t="shared" ca="1" si="3"/>
        <v>115</v>
      </c>
      <c r="P45" s="3">
        <f t="shared" si="4"/>
        <v>46113</v>
      </c>
    </row>
    <row r="46" spans="1:16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  <c r="L46" s="3">
        <f t="shared" ca="1" si="0"/>
        <v>46288</v>
      </c>
      <c r="M46" s="12">
        <f t="shared" ca="1" si="1"/>
        <v>46288.803137615738</v>
      </c>
      <c r="N46">
        <f t="shared" si="2"/>
        <v>1</v>
      </c>
      <c r="O46">
        <f t="shared" ca="1" si="3"/>
        <v>250</v>
      </c>
      <c r="P46" s="3">
        <f t="shared" si="4"/>
        <v>46113</v>
      </c>
    </row>
    <row r="47" spans="1:16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  <c r="L47" s="3">
        <f t="shared" ca="1" si="0"/>
        <v>46288</v>
      </c>
      <c r="M47" s="12">
        <f t="shared" ca="1" si="1"/>
        <v>46288.803137615738</v>
      </c>
      <c r="N47">
        <f t="shared" si="2"/>
        <v>5</v>
      </c>
      <c r="O47">
        <f t="shared" ca="1" si="3"/>
        <v>135</v>
      </c>
      <c r="P47" s="3">
        <f t="shared" si="4"/>
        <v>46113</v>
      </c>
    </row>
    <row r="48" spans="1:16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  <c r="L48" s="3">
        <f t="shared" ca="1" si="0"/>
        <v>46288</v>
      </c>
      <c r="M48" s="12">
        <f t="shared" ca="1" si="1"/>
        <v>46288.803137615738</v>
      </c>
      <c r="N48">
        <f t="shared" si="2"/>
        <v>9</v>
      </c>
      <c r="O48">
        <f t="shared" ca="1" si="3"/>
        <v>88</v>
      </c>
      <c r="P48" s="3">
        <f t="shared" si="4"/>
        <v>46113</v>
      </c>
    </row>
    <row r="49" spans="1:16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  <c r="L49" s="3">
        <f t="shared" ca="1" si="0"/>
        <v>46288</v>
      </c>
      <c r="M49" s="12">
        <f t="shared" ca="1" si="1"/>
        <v>46288.803137615738</v>
      </c>
      <c r="N49">
        <f t="shared" si="2"/>
        <v>6</v>
      </c>
      <c r="O49">
        <f t="shared" ca="1" si="3"/>
        <v>108</v>
      </c>
      <c r="P49" s="3">
        <f t="shared" si="4"/>
        <v>46113</v>
      </c>
    </row>
    <row r="50" spans="1:16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  <c r="L50" s="3">
        <f t="shared" ca="1" si="0"/>
        <v>46288</v>
      </c>
      <c r="M50" s="12">
        <f t="shared" ca="1" si="1"/>
        <v>46288.803137615738</v>
      </c>
      <c r="N50">
        <f t="shared" si="2"/>
        <v>6</v>
      </c>
      <c r="O50">
        <f t="shared" ca="1" si="3"/>
        <v>186</v>
      </c>
      <c r="P50" s="3">
        <f t="shared" si="4"/>
        <v>46113</v>
      </c>
    </row>
    <row r="51" spans="1:16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  <c r="L51" s="3">
        <f t="shared" ca="1" si="0"/>
        <v>46288</v>
      </c>
      <c r="M51" s="12">
        <f t="shared" ca="1" si="1"/>
        <v>46288.803137615738</v>
      </c>
      <c r="N51">
        <f t="shared" si="2"/>
        <v>10</v>
      </c>
      <c r="O51">
        <f t="shared" ca="1" si="3"/>
        <v>161</v>
      </c>
      <c r="P51" s="3">
        <f t="shared" si="4"/>
        <v>46113</v>
      </c>
    </row>
    <row r="52" spans="1:16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  <c r="L52" s="3">
        <f t="shared" ca="1" si="0"/>
        <v>46288</v>
      </c>
      <c r="M52" s="12">
        <f t="shared" ca="1" si="1"/>
        <v>46288.803137615738</v>
      </c>
      <c r="N52">
        <f t="shared" si="2"/>
        <v>8</v>
      </c>
      <c r="O52">
        <f t="shared" ca="1" si="3"/>
        <v>251</v>
      </c>
      <c r="P52" s="3">
        <f t="shared" si="4"/>
        <v>46113</v>
      </c>
    </row>
    <row r="53" spans="1:16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  <c r="L53" s="3">
        <f t="shared" ca="1" si="0"/>
        <v>46288</v>
      </c>
      <c r="M53" s="12">
        <f t="shared" ca="1" si="1"/>
        <v>46288.803137615738</v>
      </c>
      <c r="N53">
        <f t="shared" si="2"/>
        <v>6</v>
      </c>
      <c r="O53">
        <f t="shared" ca="1" si="3"/>
        <v>129</v>
      </c>
      <c r="P53" s="3">
        <f t="shared" si="4"/>
        <v>46113</v>
      </c>
    </row>
    <row r="54" spans="1:16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  <c r="L54" s="3">
        <f t="shared" ca="1" si="0"/>
        <v>46288</v>
      </c>
      <c r="M54" s="12">
        <f t="shared" ca="1" si="1"/>
        <v>46288.803137615738</v>
      </c>
      <c r="N54">
        <f t="shared" si="2"/>
        <v>6</v>
      </c>
      <c r="O54">
        <f t="shared" ca="1" si="3"/>
        <v>224</v>
      </c>
      <c r="P54" s="3">
        <f t="shared" si="4"/>
        <v>46113</v>
      </c>
    </row>
    <row r="55" spans="1:16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  <c r="L55" s="3">
        <f t="shared" ca="1" si="0"/>
        <v>46288</v>
      </c>
      <c r="M55" s="12">
        <f t="shared" ca="1" si="1"/>
        <v>46288.803137615738</v>
      </c>
      <c r="N55">
        <f t="shared" si="2"/>
        <v>1</v>
      </c>
      <c r="O55">
        <f t="shared" ca="1" si="3"/>
        <v>88</v>
      </c>
      <c r="P55" s="3">
        <f t="shared" si="4"/>
        <v>46113</v>
      </c>
    </row>
    <row r="56" spans="1:16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  <c r="L56" s="3">
        <f t="shared" ca="1" si="0"/>
        <v>46288</v>
      </c>
      <c r="M56" s="12">
        <f t="shared" ca="1" si="1"/>
        <v>46288.803137615738</v>
      </c>
      <c r="N56">
        <f t="shared" si="2"/>
        <v>1</v>
      </c>
      <c r="O56">
        <f t="shared" ca="1" si="3"/>
        <v>211</v>
      </c>
      <c r="P56" s="3">
        <f t="shared" si="4"/>
        <v>46113</v>
      </c>
    </row>
    <row r="57" spans="1:16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  <c r="L57" s="3">
        <f t="shared" ca="1" si="0"/>
        <v>46288</v>
      </c>
      <c r="M57" s="12">
        <f t="shared" ca="1" si="1"/>
        <v>46288.803137615738</v>
      </c>
      <c r="N57">
        <f t="shared" si="2"/>
        <v>6</v>
      </c>
      <c r="O57">
        <f t="shared" ca="1" si="3"/>
        <v>155</v>
      </c>
      <c r="P57" s="3">
        <f t="shared" si="4"/>
        <v>46113</v>
      </c>
    </row>
    <row r="58" spans="1:16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  <c r="L58" s="3">
        <f t="shared" ca="1" si="0"/>
        <v>46288</v>
      </c>
      <c r="M58" s="12">
        <f t="shared" ca="1" si="1"/>
        <v>46288.803137615738</v>
      </c>
      <c r="N58">
        <f t="shared" si="2"/>
        <v>9</v>
      </c>
      <c r="O58">
        <f t="shared" ca="1" si="3"/>
        <v>221</v>
      </c>
      <c r="P58" s="3">
        <f t="shared" si="4"/>
        <v>46113</v>
      </c>
    </row>
    <row r="59" spans="1:16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  <c r="L59" s="3">
        <f t="shared" ca="1" si="0"/>
        <v>46288</v>
      </c>
      <c r="M59" s="12">
        <f t="shared" ca="1" si="1"/>
        <v>46288.803137615738</v>
      </c>
      <c r="N59">
        <f t="shared" si="2"/>
        <v>10</v>
      </c>
      <c r="O59">
        <f t="shared" ca="1" si="3"/>
        <v>214</v>
      </c>
      <c r="P59" s="3">
        <f t="shared" si="4"/>
        <v>46113</v>
      </c>
    </row>
    <row r="60" spans="1:16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  <c r="L60" s="3">
        <f t="shared" ca="1" si="0"/>
        <v>46288</v>
      </c>
      <c r="M60" s="12">
        <f t="shared" ca="1" si="1"/>
        <v>46288.803137615738</v>
      </c>
      <c r="N60">
        <f t="shared" si="2"/>
        <v>9</v>
      </c>
      <c r="O60">
        <f t="shared" ca="1" si="3"/>
        <v>175</v>
      </c>
      <c r="P60" s="3">
        <f t="shared" si="4"/>
        <v>46113</v>
      </c>
    </row>
    <row r="61" spans="1:16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  <c r="L61" s="3">
        <f t="shared" ca="1" si="0"/>
        <v>46288</v>
      </c>
      <c r="M61" s="12">
        <f t="shared" ca="1" si="1"/>
        <v>46288.803137615738</v>
      </c>
      <c r="N61">
        <f t="shared" si="2"/>
        <v>6</v>
      </c>
      <c r="O61">
        <f t="shared" ca="1" si="3"/>
        <v>264</v>
      </c>
      <c r="P61" s="3">
        <f t="shared" si="4"/>
        <v>46113</v>
      </c>
    </row>
    <row r="62" spans="1:16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  <c r="L62" s="3">
        <f t="shared" ca="1" si="0"/>
        <v>46288</v>
      </c>
      <c r="M62" s="12">
        <f t="shared" ca="1" si="1"/>
        <v>46288.803137615738</v>
      </c>
      <c r="N62">
        <f t="shared" si="2"/>
        <v>9</v>
      </c>
      <c r="O62">
        <f t="shared" ca="1" si="3"/>
        <v>228</v>
      </c>
      <c r="P62" s="3">
        <f t="shared" si="4"/>
        <v>46113</v>
      </c>
    </row>
    <row r="63" spans="1:16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  <c r="L63" s="3">
        <f t="shared" ca="1" si="0"/>
        <v>46288</v>
      </c>
      <c r="M63" s="12">
        <f t="shared" ca="1" si="1"/>
        <v>46288.803137615738</v>
      </c>
      <c r="N63">
        <f t="shared" si="2"/>
        <v>10</v>
      </c>
      <c r="O63">
        <f t="shared" ca="1" si="3"/>
        <v>98</v>
      </c>
      <c r="P63" s="3">
        <f t="shared" si="4"/>
        <v>46113</v>
      </c>
    </row>
    <row r="64" spans="1:16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  <c r="L64" s="3">
        <f t="shared" ca="1" si="0"/>
        <v>46288</v>
      </c>
      <c r="M64" s="12">
        <f t="shared" ca="1" si="1"/>
        <v>46288.803137615738</v>
      </c>
      <c r="N64">
        <f t="shared" si="2"/>
        <v>7</v>
      </c>
      <c r="O64">
        <f t="shared" ca="1" si="3"/>
        <v>140</v>
      </c>
      <c r="P64" s="3">
        <f t="shared" si="4"/>
        <v>46113</v>
      </c>
    </row>
    <row r="65" spans="1:16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  <c r="L65" s="3">
        <f t="shared" ca="1" si="0"/>
        <v>46288</v>
      </c>
      <c r="M65" s="12">
        <f t="shared" ca="1" si="1"/>
        <v>46288.803137615738</v>
      </c>
      <c r="N65">
        <f t="shared" si="2"/>
        <v>10</v>
      </c>
      <c r="O65">
        <f t="shared" ca="1" si="3"/>
        <v>103</v>
      </c>
      <c r="P65" s="3">
        <f t="shared" si="4"/>
        <v>46113</v>
      </c>
    </row>
    <row r="66" spans="1:16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  <c r="L66" s="3">
        <f t="shared" ca="1" si="0"/>
        <v>46288</v>
      </c>
      <c r="M66" s="12">
        <f t="shared" ca="1" si="1"/>
        <v>46288.803137615738</v>
      </c>
      <c r="N66">
        <f t="shared" si="2"/>
        <v>3</v>
      </c>
      <c r="O66">
        <f t="shared" ca="1" si="3"/>
        <v>96</v>
      </c>
      <c r="P66" s="3">
        <f t="shared" si="4"/>
        <v>46113</v>
      </c>
    </row>
    <row r="67" spans="1:16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  <c r="L67" s="3">
        <f t="shared" ref="L67:L130" ca="1" si="5">TODAY()</f>
        <v>46288</v>
      </c>
      <c r="M67" s="12">
        <f t="shared" ref="M67:M130" ca="1" si="6">NOW()</f>
        <v>46288.803137615738</v>
      </c>
      <c r="N67">
        <f t="shared" ref="N67:N130" si="7">DATEDIF(I67, J67, "D")</f>
        <v>1</v>
      </c>
      <c r="O67">
        <f t="shared" ref="O67:O130" ca="1" si="8">DATEDIF(I67, TODAY(), "d")</f>
        <v>206</v>
      </c>
      <c r="P67" s="3">
        <f t="shared" ref="P67:P130" si="9">DATE(2026, 4, 1)</f>
        <v>46113</v>
      </c>
    </row>
    <row r="68" spans="1:16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  <c r="L68" s="3">
        <f t="shared" ca="1" si="5"/>
        <v>46288</v>
      </c>
      <c r="M68" s="12">
        <f t="shared" ca="1" si="6"/>
        <v>46288.803137615738</v>
      </c>
      <c r="N68">
        <f t="shared" si="7"/>
        <v>4</v>
      </c>
      <c r="O68">
        <f t="shared" ca="1" si="8"/>
        <v>230</v>
      </c>
      <c r="P68" s="3">
        <f t="shared" si="9"/>
        <v>46113</v>
      </c>
    </row>
    <row r="69" spans="1:16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  <c r="L69" s="3">
        <f t="shared" ca="1" si="5"/>
        <v>46288</v>
      </c>
      <c r="M69" s="12">
        <f t="shared" ca="1" si="6"/>
        <v>46288.803137615738</v>
      </c>
      <c r="N69">
        <f t="shared" si="7"/>
        <v>3</v>
      </c>
      <c r="O69">
        <f t="shared" ca="1" si="8"/>
        <v>92</v>
      </c>
      <c r="P69" s="3">
        <f t="shared" si="9"/>
        <v>46113</v>
      </c>
    </row>
    <row r="70" spans="1:16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  <c r="L70" s="3">
        <f t="shared" ca="1" si="5"/>
        <v>46288</v>
      </c>
      <c r="M70" s="12">
        <f t="shared" ca="1" si="6"/>
        <v>46288.803137615738</v>
      </c>
      <c r="N70">
        <f t="shared" si="7"/>
        <v>7</v>
      </c>
      <c r="O70">
        <f t="shared" ca="1" si="8"/>
        <v>249</v>
      </c>
      <c r="P70" s="3">
        <f t="shared" si="9"/>
        <v>46113</v>
      </c>
    </row>
    <row r="71" spans="1:16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  <c r="L71" s="3">
        <f t="shared" ca="1" si="5"/>
        <v>46288</v>
      </c>
      <c r="M71" s="12">
        <f t="shared" ca="1" si="6"/>
        <v>46288.803137615738</v>
      </c>
      <c r="N71">
        <f t="shared" si="7"/>
        <v>1</v>
      </c>
      <c r="O71">
        <f t="shared" ca="1" si="8"/>
        <v>212</v>
      </c>
      <c r="P71" s="3">
        <f t="shared" si="9"/>
        <v>46113</v>
      </c>
    </row>
    <row r="72" spans="1:16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  <c r="L72" s="3">
        <f t="shared" ca="1" si="5"/>
        <v>46288</v>
      </c>
      <c r="M72" s="12">
        <f t="shared" ca="1" si="6"/>
        <v>46288.803137615738</v>
      </c>
      <c r="N72">
        <f t="shared" si="7"/>
        <v>8</v>
      </c>
      <c r="O72">
        <f t="shared" ca="1" si="8"/>
        <v>159</v>
      </c>
      <c r="P72" s="3">
        <f t="shared" si="9"/>
        <v>46113</v>
      </c>
    </row>
    <row r="73" spans="1:16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  <c r="L73" s="3">
        <f t="shared" ca="1" si="5"/>
        <v>46288</v>
      </c>
      <c r="M73" s="12">
        <f t="shared" ca="1" si="6"/>
        <v>46288.803137615738</v>
      </c>
      <c r="N73">
        <f t="shared" si="7"/>
        <v>1</v>
      </c>
      <c r="O73">
        <f t="shared" ca="1" si="8"/>
        <v>253</v>
      </c>
      <c r="P73" s="3">
        <f t="shared" si="9"/>
        <v>46113</v>
      </c>
    </row>
    <row r="74" spans="1:16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  <c r="L74" s="3">
        <f t="shared" ca="1" si="5"/>
        <v>46288</v>
      </c>
      <c r="M74" s="12">
        <f t="shared" ca="1" si="6"/>
        <v>46288.803137615738</v>
      </c>
      <c r="N74">
        <f t="shared" si="7"/>
        <v>3</v>
      </c>
      <c r="O74">
        <f t="shared" ca="1" si="8"/>
        <v>162</v>
      </c>
      <c r="P74" s="3">
        <f t="shared" si="9"/>
        <v>46113</v>
      </c>
    </row>
    <row r="75" spans="1:16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  <c r="L75" s="3">
        <f t="shared" ca="1" si="5"/>
        <v>46288</v>
      </c>
      <c r="M75" s="12">
        <f t="shared" ca="1" si="6"/>
        <v>46288.803137615738</v>
      </c>
      <c r="N75">
        <f t="shared" si="7"/>
        <v>9</v>
      </c>
      <c r="O75">
        <f t="shared" ca="1" si="8"/>
        <v>174</v>
      </c>
      <c r="P75" s="3">
        <f t="shared" si="9"/>
        <v>46113</v>
      </c>
    </row>
    <row r="76" spans="1:16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  <c r="L76" s="3">
        <f t="shared" ca="1" si="5"/>
        <v>46288</v>
      </c>
      <c r="M76" s="12">
        <f t="shared" ca="1" si="6"/>
        <v>46288.803137615738</v>
      </c>
      <c r="N76">
        <f t="shared" si="7"/>
        <v>1</v>
      </c>
      <c r="O76">
        <f t="shared" ca="1" si="8"/>
        <v>103</v>
      </c>
      <c r="P76" s="3">
        <f t="shared" si="9"/>
        <v>46113</v>
      </c>
    </row>
    <row r="77" spans="1:16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  <c r="L77" s="3">
        <f t="shared" ca="1" si="5"/>
        <v>46288</v>
      </c>
      <c r="M77" s="12">
        <f t="shared" ca="1" si="6"/>
        <v>46288.803137615738</v>
      </c>
      <c r="N77">
        <f t="shared" si="7"/>
        <v>10</v>
      </c>
      <c r="O77">
        <f t="shared" ca="1" si="8"/>
        <v>243</v>
      </c>
      <c r="P77" s="3">
        <f t="shared" si="9"/>
        <v>46113</v>
      </c>
    </row>
    <row r="78" spans="1:16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  <c r="L78" s="3">
        <f t="shared" ca="1" si="5"/>
        <v>46288</v>
      </c>
      <c r="M78" s="12">
        <f t="shared" ca="1" si="6"/>
        <v>46288.803137615738</v>
      </c>
      <c r="N78">
        <f t="shared" si="7"/>
        <v>8</v>
      </c>
      <c r="O78">
        <f t="shared" ca="1" si="8"/>
        <v>175</v>
      </c>
      <c r="P78" s="3">
        <f t="shared" si="9"/>
        <v>46113</v>
      </c>
    </row>
    <row r="79" spans="1:16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  <c r="L79" s="3">
        <f t="shared" ca="1" si="5"/>
        <v>46288</v>
      </c>
      <c r="M79" s="12">
        <f t="shared" ca="1" si="6"/>
        <v>46288.803137615738</v>
      </c>
      <c r="N79">
        <f t="shared" si="7"/>
        <v>6</v>
      </c>
      <c r="O79">
        <f t="shared" ca="1" si="8"/>
        <v>204</v>
      </c>
      <c r="P79" s="3">
        <f t="shared" si="9"/>
        <v>46113</v>
      </c>
    </row>
    <row r="80" spans="1:16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  <c r="L80" s="3">
        <f t="shared" ca="1" si="5"/>
        <v>46288</v>
      </c>
      <c r="M80" s="12">
        <f t="shared" ca="1" si="6"/>
        <v>46288.803137615738</v>
      </c>
      <c r="N80">
        <f t="shared" si="7"/>
        <v>7</v>
      </c>
      <c r="O80">
        <f t="shared" ca="1" si="8"/>
        <v>118</v>
      </c>
      <c r="P80" s="3">
        <f t="shared" si="9"/>
        <v>46113</v>
      </c>
    </row>
    <row r="81" spans="1:16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  <c r="L81" s="3">
        <f t="shared" ca="1" si="5"/>
        <v>46288</v>
      </c>
      <c r="M81" s="12">
        <f t="shared" ca="1" si="6"/>
        <v>46288.803137615738</v>
      </c>
      <c r="N81">
        <f t="shared" si="7"/>
        <v>10</v>
      </c>
      <c r="O81">
        <f t="shared" ca="1" si="8"/>
        <v>155</v>
      </c>
      <c r="P81" s="3">
        <f t="shared" si="9"/>
        <v>46113</v>
      </c>
    </row>
    <row r="82" spans="1:16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  <c r="L82" s="3">
        <f t="shared" ca="1" si="5"/>
        <v>46288</v>
      </c>
      <c r="M82" s="12">
        <f t="shared" ca="1" si="6"/>
        <v>46288.803137615738</v>
      </c>
      <c r="N82">
        <f t="shared" si="7"/>
        <v>2</v>
      </c>
      <c r="O82">
        <f t="shared" ca="1" si="8"/>
        <v>230</v>
      </c>
      <c r="P82" s="3">
        <f t="shared" si="9"/>
        <v>46113</v>
      </c>
    </row>
    <row r="83" spans="1:16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  <c r="L83" s="3">
        <f t="shared" ca="1" si="5"/>
        <v>46288</v>
      </c>
      <c r="M83" s="12">
        <f t="shared" ca="1" si="6"/>
        <v>46288.803137615738</v>
      </c>
      <c r="N83">
        <f t="shared" si="7"/>
        <v>10</v>
      </c>
      <c r="O83">
        <f t="shared" ca="1" si="8"/>
        <v>213</v>
      </c>
      <c r="P83" s="3">
        <f t="shared" si="9"/>
        <v>46113</v>
      </c>
    </row>
    <row r="84" spans="1:16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  <c r="L84" s="3">
        <f t="shared" ca="1" si="5"/>
        <v>46288</v>
      </c>
      <c r="M84" s="12">
        <f t="shared" ca="1" si="6"/>
        <v>46288.803137615738</v>
      </c>
      <c r="N84">
        <f t="shared" si="7"/>
        <v>8</v>
      </c>
      <c r="O84">
        <f t="shared" ca="1" si="8"/>
        <v>103</v>
      </c>
      <c r="P84" s="3">
        <f t="shared" si="9"/>
        <v>46113</v>
      </c>
    </row>
    <row r="85" spans="1:16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  <c r="L85" s="3">
        <f t="shared" ca="1" si="5"/>
        <v>46288</v>
      </c>
      <c r="M85" s="12">
        <f t="shared" ca="1" si="6"/>
        <v>46288.803137615738</v>
      </c>
      <c r="N85">
        <f t="shared" si="7"/>
        <v>10</v>
      </c>
      <c r="O85">
        <f t="shared" ca="1" si="8"/>
        <v>241</v>
      </c>
      <c r="P85" s="3">
        <f t="shared" si="9"/>
        <v>46113</v>
      </c>
    </row>
    <row r="86" spans="1:16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  <c r="L86" s="3">
        <f t="shared" ca="1" si="5"/>
        <v>46288</v>
      </c>
      <c r="M86" s="12">
        <f t="shared" ca="1" si="6"/>
        <v>46288.803137615738</v>
      </c>
      <c r="N86">
        <f t="shared" si="7"/>
        <v>4</v>
      </c>
      <c r="O86">
        <f t="shared" ca="1" si="8"/>
        <v>142</v>
      </c>
      <c r="P86" s="3">
        <f t="shared" si="9"/>
        <v>46113</v>
      </c>
    </row>
    <row r="87" spans="1:16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  <c r="L87" s="3">
        <f t="shared" ca="1" si="5"/>
        <v>46288</v>
      </c>
      <c r="M87" s="12">
        <f t="shared" ca="1" si="6"/>
        <v>46288.803137615738</v>
      </c>
      <c r="N87">
        <f t="shared" si="7"/>
        <v>4</v>
      </c>
      <c r="O87">
        <f t="shared" ca="1" si="8"/>
        <v>243</v>
      </c>
      <c r="P87" s="3">
        <f t="shared" si="9"/>
        <v>46113</v>
      </c>
    </row>
    <row r="88" spans="1:16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  <c r="L88" s="3">
        <f t="shared" ca="1" si="5"/>
        <v>46288</v>
      </c>
      <c r="M88" s="12">
        <f t="shared" ca="1" si="6"/>
        <v>46288.803137615738</v>
      </c>
      <c r="N88">
        <f t="shared" si="7"/>
        <v>5</v>
      </c>
      <c r="O88">
        <f t="shared" ca="1" si="8"/>
        <v>117</v>
      </c>
      <c r="P88" s="3">
        <f t="shared" si="9"/>
        <v>46113</v>
      </c>
    </row>
    <row r="89" spans="1:16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  <c r="L89" s="3">
        <f t="shared" ca="1" si="5"/>
        <v>46288</v>
      </c>
      <c r="M89" s="12">
        <f t="shared" ca="1" si="6"/>
        <v>46288.803137615738</v>
      </c>
      <c r="N89">
        <f t="shared" si="7"/>
        <v>1</v>
      </c>
      <c r="O89">
        <f t="shared" ca="1" si="8"/>
        <v>220</v>
      </c>
      <c r="P89" s="3">
        <f t="shared" si="9"/>
        <v>46113</v>
      </c>
    </row>
    <row r="90" spans="1:16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  <c r="L90" s="3">
        <f t="shared" ca="1" si="5"/>
        <v>46288</v>
      </c>
      <c r="M90" s="12">
        <f t="shared" ca="1" si="6"/>
        <v>46288.803137615738</v>
      </c>
      <c r="N90">
        <f t="shared" si="7"/>
        <v>5</v>
      </c>
      <c r="O90">
        <f t="shared" ca="1" si="8"/>
        <v>222</v>
      </c>
      <c r="P90" s="3">
        <f t="shared" si="9"/>
        <v>46113</v>
      </c>
    </row>
    <row r="91" spans="1:16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  <c r="L91" s="3">
        <f t="shared" ca="1" si="5"/>
        <v>46288</v>
      </c>
      <c r="M91" s="12">
        <f t="shared" ca="1" si="6"/>
        <v>46288.803137615738</v>
      </c>
      <c r="N91">
        <f t="shared" si="7"/>
        <v>7</v>
      </c>
      <c r="O91">
        <f t="shared" ca="1" si="8"/>
        <v>200</v>
      </c>
      <c r="P91" s="3">
        <f t="shared" si="9"/>
        <v>46113</v>
      </c>
    </row>
    <row r="92" spans="1:16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  <c r="L92" s="3">
        <f t="shared" ca="1" si="5"/>
        <v>46288</v>
      </c>
      <c r="M92" s="12">
        <f t="shared" ca="1" si="6"/>
        <v>46288.803137615738</v>
      </c>
      <c r="N92">
        <f t="shared" si="7"/>
        <v>8</v>
      </c>
      <c r="O92">
        <f t="shared" ca="1" si="8"/>
        <v>152</v>
      </c>
      <c r="P92" s="3">
        <f t="shared" si="9"/>
        <v>46113</v>
      </c>
    </row>
    <row r="93" spans="1:16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  <c r="L93" s="3">
        <f t="shared" ca="1" si="5"/>
        <v>46288</v>
      </c>
      <c r="M93" s="12">
        <f t="shared" ca="1" si="6"/>
        <v>46288.803137615738</v>
      </c>
      <c r="N93">
        <f t="shared" si="7"/>
        <v>6</v>
      </c>
      <c r="O93">
        <f t="shared" ca="1" si="8"/>
        <v>239</v>
      </c>
      <c r="P93" s="3">
        <f t="shared" si="9"/>
        <v>46113</v>
      </c>
    </row>
    <row r="94" spans="1:16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  <c r="L94" s="3">
        <f t="shared" ca="1" si="5"/>
        <v>46288</v>
      </c>
      <c r="M94" s="12">
        <f t="shared" ca="1" si="6"/>
        <v>46288.803137615738</v>
      </c>
      <c r="N94">
        <f t="shared" si="7"/>
        <v>10</v>
      </c>
      <c r="O94">
        <f t="shared" ca="1" si="8"/>
        <v>113</v>
      </c>
      <c r="P94" s="3">
        <f t="shared" si="9"/>
        <v>46113</v>
      </c>
    </row>
    <row r="95" spans="1:16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  <c r="L95" s="3">
        <f t="shared" ca="1" si="5"/>
        <v>46288</v>
      </c>
      <c r="M95" s="12">
        <f t="shared" ca="1" si="6"/>
        <v>46288.803137615738</v>
      </c>
      <c r="N95">
        <f t="shared" si="7"/>
        <v>4</v>
      </c>
      <c r="O95">
        <f t="shared" ca="1" si="8"/>
        <v>187</v>
      </c>
      <c r="P95" s="3">
        <f t="shared" si="9"/>
        <v>46113</v>
      </c>
    </row>
    <row r="96" spans="1:16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  <c r="L96" s="3">
        <f t="shared" ca="1" si="5"/>
        <v>46288</v>
      </c>
      <c r="M96" s="12">
        <f t="shared" ca="1" si="6"/>
        <v>46288.803137615738</v>
      </c>
      <c r="N96">
        <f t="shared" si="7"/>
        <v>4</v>
      </c>
      <c r="O96">
        <f t="shared" ca="1" si="8"/>
        <v>121</v>
      </c>
      <c r="P96" s="3">
        <f t="shared" si="9"/>
        <v>46113</v>
      </c>
    </row>
    <row r="97" spans="1:16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  <c r="L97" s="3">
        <f t="shared" ca="1" si="5"/>
        <v>46288</v>
      </c>
      <c r="M97" s="12">
        <f t="shared" ca="1" si="6"/>
        <v>46288.803137615738</v>
      </c>
      <c r="N97">
        <f t="shared" si="7"/>
        <v>7</v>
      </c>
      <c r="O97">
        <f t="shared" ca="1" si="8"/>
        <v>234</v>
      </c>
      <c r="P97" s="3">
        <f t="shared" si="9"/>
        <v>46113</v>
      </c>
    </row>
    <row r="98" spans="1:16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  <c r="L98" s="3">
        <f t="shared" ca="1" si="5"/>
        <v>46288</v>
      </c>
      <c r="M98" s="12">
        <f t="shared" ca="1" si="6"/>
        <v>46288.803137615738</v>
      </c>
      <c r="N98">
        <f t="shared" si="7"/>
        <v>5</v>
      </c>
      <c r="O98">
        <f t="shared" ca="1" si="8"/>
        <v>199</v>
      </c>
      <c r="P98" s="3">
        <f t="shared" si="9"/>
        <v>46113</v>
      </c>
    </row>
    <row r="99" spans="1:16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  <c r="L99" s="3">
        <f t="shared" ca="1" si="5"/>
        <v>46288</v>
      </c>
      <c r="M99" s="12">
        <f t="shared" ca="1" si="6"/>
        <v>46288.803137615738</v>
      </c>
      <c r="N99">
        <f t="shared" si="7"/>
        <v>1</v>
      </c>
      <c r="O99">
        <f t="shared" ca="1" si="8"/>
        <v>162</v>
      </c>
      <c r="P99" s="3">
        <f t="shared" si="9"/>
        <v>46113</v>
      </c>
    </row>
    <row r="100" spans="1:16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  <c r="L100" s="3">
        <f t="shared" ca="1" si="5"/>
        <v>46288</v>
      </c>
      <c r="M100" s="12">
        <f t="shared" ca="1" si="6"/>
        <v>46288.803137615738</v>
      </c>
      <c r="N100">
        <f t="shared" si="7"/>
        <v>2</v>
      </c>
      <c r="O100">
        <f t="shared" ca="1" si="8"/>
        <v>230</v>
      </c>
      <c r="P100" s="3">
        <f t="shared" si="9"/>
        <v>46113</v>
      </c>
    </row>
    <row r="101" spans="1:16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  <c r="L101" s="3">
        <f t="shared" ca="1" si="5"/>
        <v>46288</v>
      </c>
      <c r="M101" s="12">
        <f t="shared" ca="1" si="6"/>
        <v>46288.803137615738</v>
      </c>
      <c r="N101">
        <f t="shared" si="7"/>
        <v>4</v>
      </c>
      <c r="O101">
        <f t="shared" ca="1" si="8"/>
        <v>261</v>
      </c>
      <c r="P101" s="3">
        <f t="shared" si="9"/>
        <v>46113</v>
      </c>
    </row>
    <row r="102" spans="1:16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  <c r="L102" s="3">
        <f t="shared" ca="1" si="5"/>
        <v>46288</v>
      </c>
      <c r="M102" s="12">
        <f t="shared" ca="1" si="6"/>
        <v>46288.803137615738</v>
      </c>
      <c r="N102">
        <f t="shared" si="7"/>
        <v>1</v>
      </c>
      <c r="O102">
        <f t="shared" ca="1" si="8"/>
        <v>147</v>
      </c>
      <c r="P102" s="3">
        <f t="shared" si="9"/>
        <v>46113</v>
      </c>
    </row>
    <row r="103" spans="1:16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  <c r="L103" s="3">
        <f t="shared" ca="1" si="5"/>
        <v>46288</v>
      </c>
      <c r="M103" s="12">
        <f t="shared" ca="1" si="6"/>
        <v>46288.803137615738</v>
      </c>
      <c r="N103">
        <f t="shared" si="7"/>
        <v>7</v>
      </c>
      <c r="O103">
        <f t="shared" ca="1" si="8"/>
        <v>182</v>
      </c>
      <c r="P103" s="3">
        <f t="shared" si="9"/>
        <v>46113</v>
      </c>
    </row>
    <row r="104" spans="1:16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  <c r="L104" s="3">
        <f t="shared" ca="1" si="5"/>
        <v>46288</v>
      </c>
      <c r="M104" s="12">
        <f t="shared" ca="1" si="6"/>
        <v>46288.803137615738</v>
      </c>
      <c r="N104">
        <f t="shared" si="7"/>
        <v>1</v>
      </c>
      <c r="O104">
        <f t="shared" ca="1" si="8"/>
        <v>248</v>
      </c>
      <c r="P104" s="3">
        <f t="shared" si="9"/>
        <v>46113</v>
      </c>
    </row>
    <row r="105" spans="1:16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  <c r="L105" s="3">
        <f t="shared" ca="1" si="5"/>
        <v>46288</v>
      </c>
      <c r="M105" s="12">
        <f t="shared" ca="1" si="6"/>
        <v>46288.803137615738</v>
      </c>
      <c r="N105">
        <f t="shared" si="7"/>
        <v>4</v>
      </c>
      <c r="O105">
        <f t="shared" ca="1" si="8"/>
        <v>228</v>
      </c>
      <c r="P105" s="3">
        <f t="shared" si="9"/>
        <v>46113</v>
      </c>
    </row>
    <row r="106" spans="1:16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  <c r="L106" s="3">
        <f t="shared" ca="1" si="5"/>
        <v>46288</v>
      </c>
      <c r="M106" s="12">
        <f t="shared" ca="1" si="6"/>
        <v>46288.803137615738</v>
      </c>
      <c r="N106">
        <f t="shared" si="7"/>
        <v>9</v>
      </c>
      <c r="O106">
        <f t="shared" ca="1" si="8"/>
        <v>231</v>
      </c>
      <c r="P106" s="3">
        <f t="shared" si="9"/>
        <v>46113</v>
      </c>
    </row>
    <row r="107" spans="1:16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  <c r="L107" s="3">
        <f t="shared" ca="1" si="5"/>
        <v>46288</v>
      </c>
      <c r="M107" s="12">
        <f t="shared" ca="1" si="6"/>
        <v>46288.803137615738</v>
      </c>
      <c r="N107">
        <f t="shared" si="7"/>
        <v>6</v>
      </c>
      <c r="O107">
        <f t="shared" ca="1" si="8"/>
        <v>197</v>
      </c>
      <c r="P107" s="3">
        <f t="shared" si="9"/>
        <v>46113</v>
      </c>
    </row>
    <row r="108" spans="1:16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  <c r="L108" s="3">
        <f t="shared" ca="1" si="5"/>
        <v>46288</v>
      </c>
      <c r="M108" s="12">
        <f t="shared" ca="1" si="6"/>
        <v>46288.803137615738</v>
      </c>
      <c r="N108">
        <f t="shared" si="7"/>
        <v>2</v>
      </c>
      <c r="O108">
        <f t="shared" ca="1" si="8"/>
        <v>212</v>
      </c>
      <c r="P108" s="3">
        <f t="shared" si="9"/>
        <v>46113</v>
      </c>
    </row>
    <row r="109" spans="1:16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  <c r="L109" s="3">
        <f t="shared" ca="1" si="5"/>
        <v>46288</v>
      </c>
      <c r="M109" s="12">
        <f t="shared" ca="1" si="6"/>
        <v>46288.803137615738</v>
      </c>
      <c r="N109">
        <f t="shared" si="7"/>
        <v>8</v>
      </c>
      <c r="O109">
        <f t="shared" ca="1" si="8"/>
        <v>169</v>
      </c>
      <c r="P109" s="3">
        <f t="shared" si="9"/>
        <v>46113</v>
      </c>
    </row>
    <row r="110" spans="1:16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  <c r="L110" s="3">
        <f t="shared" ca="1" si="5"/>
        <v>46288</v>
      </c>
      <c r="M110" s="12">
        <f t="shared" ca="1" si="6"/>
        <v>46288.803137615738</v>
      </c>
      <c r="N110">
        <f t="shared" si="7"/>
        <v>4</v>
      </c>
      <c r="O110">
        <f t="shared" ca="1" si="8"/>
        <v>255</v>
      </c>
      <c r="P110" s="3">
        <f t="shared" si="9"/>
        <v>46113</v>
      </c>
    </row>
    <row r="111" spans="1:16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  <c r="L111" s="3">
        <f t="shared" ca="1" si="5"/>
        <v>46288</v>
      </c>
      <c r="M111" s="12">
        <f t="shared" ca="1" si="6"/>
        <v>46288.803137615738</v>
      </c>
      <c r="N111">
        <f t="shared" si="7"/>
        <v>5</v>
      </c>
      <c r="O111">
        <f t="shared" ca="1" si="8"/>
        <v>211</v>
      </c>
      <c r="P111" s="3">
        <f t="shared" si="9"/>
        <v>46113</v>
      </c>
    </row>
    <row r="112" spans="1:16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  <c r="L112" s="3">
        <f t="shared" ca="1" si="5"/>
        <v>46288</v>
      </c>
      <c r="M112" s="12">
        <f t="shared" ca="1" si="6"/>
        <v>46288.803137615738</v>
      </c>
      <c r="N112">
        <f t="shared" si="7"/>
        <v>8</v>
      </c>
      <c r="O112">
        <f t="shared" ca="1" si="8"/>
        <v>155</v>
      </c>
      <c r="P112" s="3">
        <f t="shared" si="9"/>
        <v>46113</v>
      </c>
    </row>
    <row r="113" spans="1:16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  <c r="L113" s="3">
        <f t="shared" ca="1" si="5"/>
        <v>46288</v>
      </c>
      <c r="M113" s="12">
        <f t="shared" ca="1" si="6"/>
        <v>46288.803137615738</v>
      </c>
      <c r="N113">
        <f t="shared" si="7"/>
        <v>10</v>
      </c>
      <c r="O113">
        <f t="shared" ca="1" si="8"/>
        <v>198</v>
      </c>
      <c r="P113" s="3">
        <f t="shared" si="9"/>
        <v>46113</v>
      </c>
    </row>
    <row r="114" spans="1:16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  <c r="L114" s="3">
        <f t="shared" ca="1" si="5"/>
        <v>46288</v>
      </c>
      <c r="M114" s="12">
        <f t="shared" ca="1" si="6"/>
        <v>46288.803137615738</v>
      </c>
      <c r="N114">
        <f t="shared" si="7"/>
        <v>5</v>
      </c>
      <c r="O114">
        <f t="shared" ca="1" si="8"/>
        <v>212</v>
      </c>
      <c r="P114" s="3">
        <f t="shared" si="9"/>
        <v>46113</v>
      </c>
    </row>
    <row r="115" spans="1:16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  <c r="L115" s="3">
        <f t="shared" ca="1" si="5"/>
        <v>46288</v>
      </c>
      <c r="M115" s="12">
        <f t="shared" ca="1" si="6"/>
        <v>46288.803137615738</v>
      </c>
      <c r="N115">
        <f t="shared" si="7"/>
        <v>3</v>
      </c>
      <c r="O115">
        <f t="shared" ca="1" si="8"/>
        <v>222</v>
      </c>
      <c r="P115" s="3">
        <f t="shared" si="9"/>
        <v>46113</v>
      </c>
    </row>
    <row r="116" spans="1:16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  <c r="L116" s="3">
        <f t="shared" ca="1" si="5"/>
        <v>46288</v>
      </c>
      <c r="M116" s="12">
        <f t="shared" ca="1" si="6"/>
        <v>46288.803137615738</v>
      </c>
      <c r="N116">
        <f t="shared" si="7"/>
        <v>8</v>
      </c>
      <c r="O116">
        <f t="shared" ca="1" si="8"/>
        <v>139</v>
      </c>
      <c r="P116" s="3">
        <f t="shared" si="9"/>
        <v>46113</v>
      </c>
    </row>
    <row r="117" spans="1:16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  <c r="L117" s="3">
        <f t="shared" ca="1" si="5"/>
        <v>46288</v>
      </c>
      <c r="M117" s="12">
        <f t="shared" ca="1" si="6"/>
        <v>46288.803137615738</v>
      </c>
      <c r="N117">
        <f t="shared" si="7"/>
        <v>2</v>
      </c>
      <c r="O117">
        <f t="shared" ca="1" si="8"/>
        <v>239</v>
      </c>
      <c r="P117" s="3">
        <f t="shared" si="9"/>
        <v>46113</v>
      </c>
    </row>
    <row r="118" spans="1:16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  <c r="L118" s="3">
        <f t="shared" ca="1" si="5"/>
        <v>46288</v>
      </c>
      <c r="M118" s="12">
        <f t="shared" ca="1" si="6"/>
        <v>46288.803137615738</v>
      </c>
      <c r="N118">
        <f t="shared" si="7"/>
        <v>8</v>
      </c>
      <c r="O118">
        <f t="shared" ca="1" si="8"/>
        <v>141</v>
      </c>
      <c r="P118" s="3">
        <f t="shared" si="9"/>
        <v>46113</v>
      </c>
    </row>
    <row r="119" spans="1:16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  <c r="L119" s="3">
        <f t="shared" ca="1" si="5"/>
        <v>46288</v>
      </c>
      <c r="M119" s="12">
        <f t="shared" ca="1" si="6"/>
        <v>46288.803137615738</v>
      </c>
      <c r="N119">
        <f t="shared" si="7"/>
        <v>9</v>
      </c>
      <c r="O119">
        <f t="shared" ca="1" si="8"/>
        <v>110</v>
      </c>
      <c r="P119" s="3">
        <f t="shared" si="9"/>
        <v>46113</v>
      </c>
    </row>
    <row r="120" spans="1:16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  <c r="L120" s="3">
        <f t="shared" ca="1" si="5"/>
        <v>46288</v>
      </c>
      <c r="M120" s="12">
        <f t="shared" ca="1" si="6"/>
        <v>46288.803137615738</v>
      </c>
      <c r="N120">
        <f t="shared" si="7"/>
        <v>8</v>
      </c>
      <c r="O120">
        <f t="shared" ca="1" si="8"/>
        <v>104</v>
      </c>
      <c r="P120" s="3">
        <f t="shared" si="9"/>
        <v>46113</v>
      </c>
    </row>
    <row r="121" spans="1:16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  <c r="L121" s="3">
        <f t="shared" ca="1" si="5"/>
        <v>46288</v>
      </c>
      <c r="M121" s="12">
        <f t="shared" ca="1" si="6"/>
        <v>46288.803137615738</v>
      </c>
      <c r="N121">
        <f t="shared" si="7"/>
        <v>4</v>
      </c>
      <c r="O121">
        <f t="shared" ca="1" si="8"/>
        <v>227</v>
      </c>
      <c r="P121" s="3">
        <f t="shared" si="9"/>
        <v>46113</v>
      </c>
    </row>
    <row r="122" spans="1:16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  <c r="L122" s="3">
        <f t="shared" ca="1" si="5"/>
        <v>46288</v>
      </c>
      <c r="M122" s="12">
        <f t="shared" ca="1" si="6"/>
        <v>46288.803137615738</v>
      </c>
      <c r="N122">
        <f t="shared" si="7"/>
        <v>5</v>
      </c>
      <c r="O122">
        <f t="shared" ca="1" si="8"/>
        <v>185</v>
      </c>
      <c r="P122" s="3">
        <f t="shared" si="9"/>
        <v>46113</v>
      </c>
    </row>
    <row r="123" spans="1:16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  <c r="L123" s="3">
        <f t="shared" ca="1" si="5"/>
        <v>46288</v>
      </c>
      <c r="M123" s="12">
        <f t="shared" ca="1" si="6"/>
        <v>46288.803137615738</v>
      </c>
      <c r="N123">
        <f t="shared" si="7"/>
        <v>3</v>
      </c>
      <c r="O123">
        <f t="shared" ca="1" si="8"/>
        <v>156</v>
      </c>
      <c r="P123" s="3">
        <f t="shared" si="9"/>
        <v>46113</v>
      </c>
    </row>
    <row r="124" spans="1:16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  <c r="L124" s="3">
        <f t="shared" ca="1" si="5"/>
        <v>46288</v>
      </c>
      <c r="M124" s="12">
        <f t="shared" ca="1" si="6"/>
        <v>46288.803137615738</v>
      </c>
      <c r="N124">
        <f t="shared" si="7"/>
        <v>2</v>
      </c>
      <c r="O124">
        <f t="shared" ca="1" si="8"/>
        <v>181</v>
      </c>
      <c r="P124" s="3">
        <f t="shared" si="9"/>
        <v>46113</v>
      </c>
    </row>
    <row r="125" spans="1:16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  <c r="L125" s="3">
        <f t="shared" ca="1" si="5"/>
        <v>46288</v>
      </c>
      <c r="M125" s="12">
        <f t="shared" ca="1" si="6"/>
        <v>46288.803137615738</v>
      </c>
      <c r="N125">
        <f t="shared" si="7"/>
        <v>7</v>
      </c>
      <c r="O125">
        <f t="shared" ca="1" si="8"/>
        <v>106</v>
      </c>
      <c r="P125" s="3">
        <f t="shared" si="9"/>
        <v>46113</v>
      </c>
    </row>
    <row r="126" spans="1:16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  <c r="L126" s="3">
        <f t="shared" ca="1" si="5"/>
        <v>46288</v>
      </c>
      <c r="M126" s="12">
        <f t="shared" ca="1" si="6"/>
        <v>46288.803137615738</v>
      </c>
      <c r="N126">
        <f t="shared" si="7"/>
        <v>5</v>
      </c>
      <c r="O126">
        <f t="shared" ca="1" si="8"/>
        <v>155</v>
      </c>
      <c r="P126" s="3">
        <f t="shared" si="9"/>
        <v>46113</v>
      </c>
    </row>
    <row r="127" spans="1:16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  <c r="L127" s="3">
        <f t="shared" ca="1" si="5"/>
        <v>46288</v>
      </c>
      <c r="M127" s="12">
        <f t="shared" ca="1" si="6"/>
        <v>46288.803137615738</v>
      </c>
      <c r="N127">
        <f t="shared" si="7"/>
        <v>5</v>
      </c>
      <c r="O127">
        <f t="shared" ca="1" si="8"/>
        <v>87</v>
      </c>
      <c r="P127" s="3">
        <f t="shared" si="9"/>
        <v>46113</v>
      </c>
    </row>
    <row r="128" spans="1:16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  <c r="L128" s="3">
        <f t="shared" ca="1" si="5"/>
        <v>46288</v>
      </c>
      <c r="M128" s="12">
        <f t="shared" ca="1" si="6"/>
        <v>46288.803137615738</v>
      </c>
      <c r="N128">
        <f t="shared" si="7"/>
        <v>9</v>
      </c>
      <c r="O128">
        <f t="shared" ca="1" si="8"/>
        <v>118</v>
      </c>
      <c r="P128" s="3">
        <f t="shared" si="9"/>
        <v>46113</v>
      </c>
    </row>
    <row r="129" spans="1:16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  <c r="L129" s="3">
        <f t="shared" ca="1" si="5"/>
        <v>46288</v>
      </c>
      <c r="M129" s="12">
        <f t="shared" ca="1" si="6"/>
        <v>46288.803137615738</v>
      </c>
      <c r="N129">
        <f t="shared" si="7"/>
        <v>6</v>
      </c>
      <c r="O129">
        <f t="shared" ca="1" si="8"/>
        <v>244</v>
      </c>
      <c r="P129" s="3">
        <f t="shared" si="9"/>
        <v>46113</v>
      </c>
    </row>
    <row r="130" spans="1:16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  <c r="L130" s="3">
        <f t="shared" ca="1" si="5"/>
        <v>46288</v>
      </c>
      <c r="M130" s="12">
        <f t="shared" ca="1" si="6"/>
        <v>46288.803137615738</v>
      </c>
      <c r="N130">
        <f t="shared" si="7"/>
        <v>4</v>
      </c>
      <c r="O130">
        <f t="shared" ca="1" si="8"/>
        <v>128</v>
      </c>
      <c r="P130" s="3">
        <f t="shared" si="9"/>
        <v>46113</v>
      </c>
    </row>
    <row r="131" spans="1:16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  <c r="L131" s="3">
        <f t="shared" ref="L131:L194" ca="1" si="10">TODAY()</f>
        <v>46288</v>
      </c>
      <c r="M131" s="12">
        <f t="shared" ref="M131:M194" ca="1" si="11">NOW()</f>
        <v>46288.803137615738</v>
      </c>
      <c r="N131">
        <f t="shared" ref="N131:N194" si="12">DATEDIF(I131, J131, "D")</f>
        <v>6</v>
      </c>
      <c r="O131">
        <f t="shared" ref="O131:O194" ca="1" si="13">DATEDIF(I131, TODAY(), "d")</f>
        <v>163</v>
      </c>
      <c r="P131" s="3">
        <f t="shared" ref="P131:P194" si="14">DATE(2026, 4, 1)</f>
        <v>46113</v>
      </c>
    </row>
    <row r="132" spans="1:16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  <c r="L132" s="3">
        <f t="shared" ca="1" si="10"/>
        <v>46288</v>
      </c>
      <c r="M132" s="12">
        <f t="shared" ca="1" si="11"/>
        <v>46288.803137615738</v>
      </c>
      <c r="N132">
        <f t="shared" si="12"/>
        <v>5</v>
      </c>
      <c r="O132">
        <f t="shared" ca="1" si="13"/>
        <v>120</v>
      </c>
      <c r="P132" s="3">
        <f t="shared" si="14"/>
        <v>46113</v>
      </c>
    </row>
    <row r="133" spans="1:16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  <c r="L133" s="3">
        <f t="shared" ca="1" si="10"/>
        <v>46288</v>
      </c>
      <c r="M133" s="12">
        <f t="shared" ca="1" si="11"/>
        <v>46288.803137615738</v>
      </c>
      <c r="N133">
        <f t="shared" si="12"/>
        <v>10</v>
      </c>
      <c r="O133">
        <f t="shared" ca="1" si="13"/>
        <v>264</v>
      </c>
      <c r="P133" s="3">
        <f t="shared" si="14"/>
        <v>46113</v>
      </c>
    </row>
    <row r="134" spans="1:16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  <c r="L134" s="3">
        <f t="shared" ca="1" si="10"/>
        <v>46288</v>
      </c>
      <c r="M134" s="12">
        <f t="shared" ca="1" si="11"/>
        <v>46288.803137615738</v>
      </c>
      <c r="N134">
        <f t="shared" si="12"/>
        <v>9</v>
      </c>
      <c r="O134">
        <f t="shared" ca="1" si="13"/>
        <v>176</v>
      </c>
      <c r="P134" s="3">
        <f t="shared" si="14"/>
        <v>46113</v>
      </c>
    </row>
    <row r="135" spans="1:16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  <c r="L135" s="3">
        <f t="shared" ca="1" si="10"/>
        <v>46288</v>
      </c>
      <c r="M135" s="12">
        <f t="shared" ca="1" si="11"/>
        <v>46288.803137615738</v>
      </c>
      <c r="N135">
        <f t="shared" si="12"/>
        <v>2</v>
      </c>
      <c r="O135">
        <f t="shared" ca="1" si="13"/>
        <v>140</v>
      </c>
      <c r="P135" s="3">
        <f t="shared" si="14"/>
        <v>46113</v>
      </c>
    </row>
    <row r="136" spans="1:16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  <c r="L136" s="3">
        <f t="shared" ca="1" si="10"/>
        <v>46288</v>
      </c>
      <c r="M136" s="12">
        <f t="shared" ca="1" si="11"/>
        <v>46288.803137615738</v>
      </c>
      <c r="N136">
        <f t="shared" si="12"/>
        <v>1</v>
      </c>
      <c r="O136">
        <f t="shared" ca="1" si="13"/>
        <v>247</v>
      </c>
      <c r="P136" s="3">
        <f t="shared" si="14"/>
        <v>46113</v>
      </c>
    </row>
    <row r="137" spans="1:16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  <c r="L137" s="3">
        <f t="shared" ca="1" si="10"/>
        <v>46288</v>
      </c>
      <c r="M137" s="12">
        <f t="shared" ca="1" si="11"/>
        <v>46288.803137615738</v>
      </c>
      <c r="N137">
        <f t="shared" si="12"/>
        <v>6</v>
      </c>
      <c r="O137">
        <f t="shared" ca="1" si="13"/>
        <v>232</v>
      </c>
      <c r="P137" s="3">
        <f t="shared" si="14"/>
        <v>46113</v>
      </c>
    </row>
    <row r="138" spans="1:16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  <c r="L138" s="3">
        <f t="shared" ca="1" si="10"/>
        <v>46288</v>
      </c>
      <c r="M138" s="12">
        <f t="shared" ca="1" si="11"/>
        <v>46288.803137615738</v>
      </c>
      <c r="N138">
        <f t="shared" si="12"/>
        <v>6</v>
      </c>
      <c r="O138">
        <f t="shared" ca="1" si="13"/>
        <v>104</v>
      </c>
      <c r="P138" s="3">
        <f t="shared" si="14"/>
        <v>46113</v>
      </c>
    </row>
    <row r="139" spans="1:16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  <c r="L139" s="3">
        <f t="shared" ca="1" si="10"/>
        <v>46288</v>
      </c>
      <c r="M139" s="12">
        <f t="shared" ca="1" si="11"/>
        <v>46288.803137615738</v>
      </c>
      <c r="N139">
        <f t="shared" si="12"/>
        <v>8</v>
      </c>
      <c r="O139">
        <f t="shared" ca="1" si="13"/>
        <v>204</v>
      </c>
      <c r="P139" s="3">
        <f t="shared" si="14"/>
        <v>46113</v>
      </c>
    </row>
    <row r="140" spans="1:16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  <c r="L140" s="3">
        <f t="shared" ca="1" si="10"/>
        <v>46288</v>
      </c>
      <c r="M140" s="12">
        <f t="shared" ca="1" si="11"/>
        <v>46288.803137615738</v>
      </c>
      <c r="N140">
        <f t="shared" si="12"/>
        <v>6</v>
      </c>
      <c r="O140">
        <f t="shared" ca="1" si="13"/>
        <v>195</v>
      </c>
      <c r="P140" s="3">
        <f t="shared" si="14"/>
        <v>46113</v>
      </c>
    </row>
    <row r="141" spans="1:16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  <c r="L141" s="3">
        <f t="shared" ca="1" si="10"/>
        <v>46288</v>
      </c>
      <c r="M141" s="12">
        <f t="shared" ca="1" si="11"/>
        <v>46288.803137615738</v>
      </c>
      <c r="N141">
        <f t="shared" si="12"/>
        <v>4</v>
      </c>
      <c r="O141">
        <f t="shared" ca="1" si="13"/>
        <v>227</v>
      </c>
      <c r="P141" s="3">
        <f t="shared" si="14"/>
        <v>46113</v>
      </c>
    </row>
    <row r="142" spans="1:16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  <c r="L142" s="3">
        <f t="shared" ca="1" si="10"/>
        <v>46288</v>
      </c>
      <c r="M142" s="12">
        <f t="shared" ca="1" si="11"/>
        <v>46288.803137615738</v>
      </c>
      <c r="N142">
        <f t="shared" si="12"/>
        <v>10</v>
      </c>
      <c r="O142">
        <f t="shared" ca="1" si="13"/>
        <v>245</v>
      </c>
      <c r="P142" s="3">
        <f t="shared" si="14"/>
        <v>46113</v>
      </c>
    </row>
    <row r="143" spans="1:16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  <c r="L143" s="3">
        <f t="shared" ca="1" si="10"/>
        <v>46288</v>
      </c>
      <c r="M143" s="12">
        <f t="shared" ca="1" si="11"/>
        <v>46288.803137615738</v>
      </c>
      <c r="N143">
        <f t="shared" si="12"/>
        <v>7</v>
      </c>
      <c r="O143">
        <f t="shared" ca="1" si="13"/>
        <v>224</v>
      </c>
      <c r="P143" s="3">
        <f t="shared" si="14"/>
        <v>46113</v>
      </c>
    </row>
    <row r="144" spans="1:16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  <c r="L144" s="3">
        <f t="shared" ca="1" si="10"/>
        <v>46288</v>
      </c>
      <c r="M144" s="12">
        <f t="shared" ca="1" si="11"/>
        <v>46288.803137615738</v>
      </c>
      <c r="N144">
        <f t="shared" si="12"/>
        <v>7</v>
      </c>
      <c r="O144">
        <f t="shared" ca="1" si="13"/>
        <v>128</v>
      </c>
      <c r="P144" s="3">
        <f t="shared" si="14"/>
        <v>46113</v>
      </c>
    </row>
    <row r="145" spans="1:16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  <c r="L145" s="3">
        <f t="shared" ca="1" si="10"/>
        <v>46288</v>
      </c>
      <c r="M145" s="12">
        <f t="shared" ca="1" si="11"/>
        <v>46288.803137615738</v>
      </c>
      <c r="N145">
        <f t="shared" si="12"/>
        <v>2</v>
      </c>
      <c r="O145">
        <f t="shared" ca="1" si="13"/>
        <v>150</v>
      </c>
      <c r="P145" s="3">
        <f t="shared" si="14"/>
        <v>46113</v>
      </c>
    </row>
    <row r="146" spans="1:16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  <c r="L146" s="3">
        <f t="shared" ca="1" si="10"/>
        <v>46288</v>
      </c>
      <c r="M146" s="12">
        <f t="shared" ca="1" si="11"/>
        <v>46288.803137615738</v>
      </c>
      <c r="N146">
        <f t="shared" si="12"/>
        <v>10</v>
      </c>
      <c r="O146">
        <f t="shared" ca="1" si="13"/>
        <v>186</v>
      </c>
      <c r="P146" s="3">
        <f t="shared" si="14"/>
        <v>46113</v>
      </c>
    </row>
    <row r="147" spans="1:16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  <c r="L147" s="3">
        <f t="shared" ca="1" si="10"/>
        <v>46288</v>
      </c>
      <c r="M147" s="12">
        <f t="shared" ca="1" si="11"/>
        <v>46288.803137615738</v>
      </c>
      <c r="N147">
        <f t="shared" si="12"/>
        <v>7</v>
      </c>
      <c r="O147">
        <f t="shared" ca="1" si="13"/>
        <v>98</v>
      </c>
      <c r="P147" s="3">
        <f t="shared" si="14"/>
        <v>46113</v>
      </c>
    </row>
    <row r="148" spans="1:16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  <c r="L148" s="3">
        <f t="shared" ca="1" si="10"/>
        <v>46288</v>
      </c>
      <c r="M148" s="12">
        <f t="shared" ca="1" si="11"/>
        <v>46288.803137615738</v>
      </c>
      <c r="N148">
        <f t="shared" si="12"/>
        <v>1</v>
      </c>
      <c r="O148">
        <f t="shared" ca="1" si="13"/>
        <v>134</v>
      </c>
      <c r="P148" s="3">
        <f t="shared" si="14"/>
        <v>46113</v>
      </c>
    </row>
    <row r="149" spans="1:16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  <c r="L149" s="3">
        <f t="shared" ca="1" si="10"/>
        <v>46288</v>
      </c>
      <c r="M149" s="12">
        <f t="shared" ca="1" si="11"/>
        <v>46288.803137615738</v>
      </c>
      <c r="N149">
        <f t="shared" si="12"/>
        <v>2</v>
      </c>
      <c r="O149">
        <f t="shared" ca="1" si="13"/>
        <v>258</v>
      </c>
      <c r="P149" s="3">
        <f t="shared" si="14"/>
        <v>46113</v>
      </c>
    </row>
    <row r="150" spans="1:16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  <c r="L150" s="3">
        <f t="shared" ca="1" si="10"/>
        <v>46288</v>
      </c>
      <c r="M150" s="12">
        <f t="shared" ca="1" si="11"/>
        <v>46288.803137615738</v>
      </c>
      <c r="N150">
        <f t="shared" si="12"/>
        <v>1</v>
      </c>
      <c r="O150">
        <f t="shared" ca="1" si="13"/>
        <v>235</v>
      </c>
      <c r="P150" s="3">
        <f t="shared" si="14"/>
        <v>46113</v>
      </c>
    </row>
    <row r="151" spans="1:16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  <c r="L151" s="3">
        <f t="shared" ca="1" si="10"/>
        <v>46288</v>
      </c>
      <c r="M151" s="12">
        <f t="shared" ca="1" si="11"/>
        <v>46288.803137615738</v>
      </c>
      <c r="N151">
        <f t="shared" si="12"/>
        <v>10</v>
      </c>
      <c r="O151">
        <f t="shared" ca="1" si="13"/>
        <v>145</v>
      </c>
      <c r="P151" s="3">
        <f t="shared" si="14"/>
        <v>46113</v>
      </c>
    </row>
    <row r="152" spans="1:16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  <c r="L152" s="3">
        <f t="shared" ca="1" si="10"/>
        <v>46288</v>
      </c>
      <c r="M152" s="12">
        <f t="shared" ca="1" si="11"/>
        <v>46288.803137615738</v>
      </c>
      <c r="N152">
        <f t="shared" si="12"/>
        <v>5</v>
      </c>
      <c r="O152">
        <f t="shared" ca="1" si="13"/>
        <v>264</v>
      </c>
      <c r="P152" s="3">
        <f t="shared" si="14"/>
        <v>46113</v>
      </c>
    </row>
    <row r="153" spans="1:16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  <c r="L153" s="3">
        <f t="shared" ca="1" si="10"/>
        <v>46288</v>
      </c>
      <c r="M153" s="12">
        <f t="shared" ca="1" si="11"/>
        <v>46288.803137615738</v>
      </c>
      <c r="N153">
        <f t="shared" si="12"/>
        <v>8</v>
      </c>
      <c r="O153">
        <f t="shared" ca="1" si="13"/>
        <v>226</v>
      </c>
      <c r="P153" s="3">
        <f t="shared" si="14"/>
        <v>46113</v>
      </c>
    </row>
    <row r="154" spans="1:16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  <c r="L154" s="3">
        <f t="shared" ca="1" si="10"/>
        <v>46288</v>
      </c>
      <c r="M154" s="12">
        <f t="shared" ca="1" si="11"/>
        <v>46288.803137615738</v>
      </c>
      <c r="N154">
        <f t="shared" si="12"/>
        <v>3</v>
      </c>
      <c r="O154">
        <f t="shared" ca="1" si="13"/>
        <v>219</v>
      </c>
      <c r="P154" s="3">
        <f t="shared" si="14"/>
        <v>46113</v>
      </c>
    </row>
    <row r="155" spans="1:16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  <c r="L155" s="3">
        <f t="shared" ca="1" si="10"/>
        <v>46288</v>
      </c>
      <c r="M155" s="12">
        <f t="shared" ca="1" si="11"/>
        <v>46288.803137615738</v>
      </c>
      <c r="N155">
        <f t="shared" si="12"/>
        <v>5</v>
      </c>
      <c r="O155">
        <f t="shared" ca="1" si="13"/>
        <v>110</v>
      </c>
      <c r="P155" s="3">
        <f t="shared" si="14"/>
        <v>46113</v>
      </c>
    </row>
    <row r="156" spans="1:16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  <c r="L156" s="3">
        <f t="shared" ca="1" si="10"/>
        <v>46288</v>
      </c>
      <c r="M156" s="12">
        <f t="shared" ca="1" si="11"/>
        <v>46288.803137615738</v>
      </c>
      <c r="N156">
        <f t="shared" si="12"/>
        <v>3</v>
      </c>
      <c r="O156">
        <f t="shared" ca="1" si="13"/>
        <v>195</v>
      </c>
      <c r="P156" s="3">
        <f t="shared" si="14"/>
        <v>46113</v>
      </c>
    </row>
    <row r="157" spans="1:16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  <c r="L157" s="3">
        <f t="shared" ca="1" si="10"/>
        <v>46288</v>
      </c>
      <c r="M157" s="12">
        <f t="shared" ca="1" si="11"/>
        <v>46288.803137615738</v>
      </c>
      <c r="N157">
        <f t="shared" si="12"/>
        <v>4</v>
      </c>
      <c r="O157">
        <f t="shared" ca="1" si="13"/>
        <v>263</v>
      </c>
      <c r="P157" s="3">
        <f t="shared" si="14"/>
        <v>46113</v>
      </c>
    </row>
    <row r="158" spans="1:16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  <c r="L158" s="3">
        <f t="shared" ca="1" si="10"/>
        <v>46288</v>
      </c>
      <c r="M158" s="12">
        <f t="shared" ca="1" si="11"/>
        <v>46288.803137615738</v>
      </c>
      <c r="N158">
        <f t="shared" si="12"/>
        <v>4</v>
      </c>
      <c r="O158">
        <f t="shared" ca="1" si="13"/>
        <v>212</v>
      </c>
      <c r="P158" s="3">
        <f t="shared" si="14"/>
        <v>46113</v>
      </c>
    </row>
    <row r="159" spans="1:16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  <c r="L159" s="3">
        <f t="shared" ca="1" si="10"/>
        <v>46288</v>
      </c>
      <c r="M159" s="12">
        <f t="shared" ca="1" si="11"/>
        <v>46288.803137615738</v>
      </c>
      <c r="N159">
        <f t="shared" si="12"/>
        <v>3</v>
      </c>
      <c r="O159">
        <f t="shared" ca="1" si="13"/>
        <v>209</v>
      </c>
      <c r="P159" s="3">
        <f t="shared" si="14"/>
        <v>46113</v>
      </c>
    </row>
    <row r="160" spans="1:16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  <c r="L160" s="3">
        <f t="shared" ca="1" si="10"/>
        <v>46288</v>
      </c>
      <c r="M160" s="12">
        <f t="shared" ca="1" si="11"/>
        <v>46288.803137615738</v>
      </c>
      <c r="N160">
        <f t="shared" si="12"/>
        <v>3</v>
      </c>
      <c r="O160">
        <f t="shared" ca="1" si="13"/>
        <v>104</v>
      </c>
      <c r="P160" s="3">
        <f t="shared" si="14"/>
        <v>46113</v>
      </c>
    </row>
    <row r="161" spans="1:16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  <c r="L161" s="3">
        <f t="shared" ca="1" si="10"/>
        <v>46288</v>
      </c>
      <c r="M161" s="12">
        <f t="shared" ca="1" si="11"/>
        <v>46288.803137615738</v>
      </c>
      <c r="N161">
        <f t="shared" si="12"/>
        <v>5</v>
      </c>
      <c r="O161">
        <f t="shared" ca="1" si="13"/>
        <v>146</v>
      </c>
      <c r="P161" s="3">
        <f t="shared" si="14"/>
        <v>46113</v>
      </c>
    </row>
    <row r="162" spans="1:16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  <c r="L162" s="3">
        <f t="shared" ca="1" si="10"/>
        <v>46288</v>
      </c>
      <c r="M162" s="12">
        <f t="shared" ca="1" si="11"/>
        <v>46288.803137615738</v>
      </c>
      <c r="N162">
        <f t="shared" si="12"/>
        <v>4</v>
      </c>
      <c r="O162">
        <f t="shared" ca="1" si="13"/>
        <v>183</v>
      </c>
      <c r="P162" s="3">
        <f t="shared" si="14"/>
        <v>46113</v>
      </c>
    </row>
    <row r="163" spans="1:16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  <c r="L163" s="3">
        <f t="shared" ca="1" si="10"/>
        <v>46288</v>
      </c>
      <c r="M163" s="12">
        <f t="shared" ca="1" si="11"/>
        <v>46288.803137615738</v>
      </c>
      <c r="N163">
        <f t="shared" si="12"/>
        <v>1</v>
      </c>
      <c r="O163">
        <f t="shared" ca="1" si="13"/>
        <v>188</v>
      </c>
      <c r="P163" s="3">
        <f t="shared" si="14"/>
        <v>46113</v>
      </c>
    </row>
    <row r="164" spans="1:16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  <c r="L164" s="3">
        <f t="shared" ca="1" si="10"/>
        <v>46288</v>
      </c>
      <c r="M164" s="12">
        <f t="shared" ca="1" si="11"/>
        <v>46288.803137615738</v>
      </c>
      <c r="N164">
        <f t="shared" si="12"/>
        <v>5</v>
      </c>
      <c r="O164">
        <f t="shared" ca="1" si="13"/>
        <v>207</v>
      </c>
      <c r="P164" s="3">
        <f t="shared" si="14"/>
        <v>46113</v>
      </c>
    </row>
    <row r="165" spans="1:16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  <c r="L165" s="3">
        <f t="shared" ca="1" si="10"/>
        <v>46288</v>
      </c>
      <c r="M165" s="12">
        <f t="shared" ca="1" si="11"/>
        <v>46288.803137615738</v>
      </c>
      <c r="N165">
        <f t="shared" si="12"/>
        <v>7</v>
      </c>
      <c r="O165">
        <f t="shared" ca="1" si="13"/>
        <v>92</v>
      </c>
      <c r="P165" s="3">
        <f t="shared" si="14"/>
        <v>46113</v>
      </c>
    </row>
    <row r="166" spans="1:16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  <c r="L166" s="3">
        <f t="shared" ca="1" si="10"/>
        <v>46288</v>
      </c>
      <c r="M166" s="12">
        <f t="shared" ca="1" si="11"/>
        <v>46288.803137615738</v>
      </c>
      <c r="N166">
        <f t="shared" si="12"/>
        <v>8</v>
      </c>
      <c r="O166">
        <f t="shared" ca="1" si="13"/>
        <v>246</v>
      </c>
      <c r="P166" s="3">
        <f t="shared" si="14"/>
        <v>46113</v>
      </c>
    </row>
    <row r="167" spans="1:16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  <c r="L167" s="3">
        <f t="shared" ca="1" si="10"/>
        <v>46288</v>
      </c>
      <c r="M167" s="12">
        <f t="shared" ca="1" si="11"/>
        <v>46288.803137615738</v>
      </c>
      <c r="N167">
        <f t="shared" si="12"/>
        <v>1</v>
      </c>
      <c r="O167">
        <f t="shared" ca="1" si="13"/>
        <v>196</v>
      </c>
      <c r="P167" s="3">
        <f t="shared" si="14"/>
        <v>46113</v>
      </c>
    </row>
    <row r="168" spans="1:16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  <c r="L168" s="3">
        <f t="shared" ca="1" si="10"/>
        <v>46288</v>
      </c>
      <c r="M168" s="12">
        <f t="shared" ca="1" si="11"/>
        <v>46288.803137615738</v>
      </c>
      <c r="N168">
        <f t="shared" si="12"/>
        <v>10</v>
      </c>
      <c r="O168">
        <f t="shared" ca="1" si="13"/>
        <v>128</v>
      </c>
      <c r="P168" s="3">
        <f t="shared" si="14"/>
        <v>46113</v>
      </c>
    </row>
    <row r="169" spans="1:16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  <c r="L169" s="3">
        <f t="shared" ca="1" si="10"/>
        <v>46288</v>
      </c>
      <c r="M169" s="12">
        <f t="shared" ca="1" si="11"/>
        <v>46288.803137615738</v>
      </c>
      <c r="N169">
        <f t="shared" si="12"/>
        <v>10</v>
      </c>
      <c r="O169">
        <f t="shared" ca="1" si="13"/>
        <v>158</v>
      </c>
      <c r="P169" s="3">
        <f t="shared" si="14"/>
        <v>46113</v>
      </c>
    </row>
    <row r="170" spans="1:16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  <c r="L170" s="3">
        <f t="shared" ca="1" si="10"/>
        <v>46288</v>
      </c>
      <c r="M170" s="12">
        <f t="shared" ca="1" si="11"/>
        <v>46288.803137615738</v>
      </c>
      <c r="N170">
        <f t="shared" si="12"/>
        <v>9</v>
      </c>
      <c r="O170">
        <f t="shared" ca="1" si="13"/>
        <v>167</v>
      </c>
      <c r="P170" s="3">
        <f t="shared" si="14"/>
        <v>46113</v>
      </c>
    </row>
    <row r="171" spans="1:16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  <c r="L171" s="3">
        <f t="shared" ca="1" si="10"/>
        <v>46288</v>
      </c>
      <c r="M171" s="12">
        <f t="shared" ca="1" si="11"/>
        <v>46288.803137615738</v>
      </c>
      <c r="N171">
        <f t="shared" si="12"/>
        <v>1</v>
      </c>
      <c r="O171">
        <f t="shared" ca="1" si="13"/>
        <v>183</v>
      </c>
      <c r="P171" s="3">
        <f t="shared" si="14"/>
        <v>46113</v>
      </c>
    </row>
    <row r="172" spans="1:16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  <c r="L172" s="3">
        <f t="shared" ca="1" si="10"/>
        <v>46288</v>
      </c>
      <c r="M172" s="12">
        <f t="shared" ca="1" si="11"/>
        <v>46288.803137615738</v>
      </c>
      <c r="N172">
        <f t="shared" si="12"/>
        <v>5</v>
      </c>
      <c r="O172">
        <f t="shared" ca="1" si="13"/>
        <v>133</v>
      </c>
      <c r="P172" s="3">
        <f t="shared" si="14"/>
        <v>46113</v>
      </c>
    </row>
    <row r="173" spans="1:16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  <c r="L173" s="3">
        <f t="shared" ca="1" si="10"/>
        <v>46288</v>
      </c>
      <c r="M173" s="12">
        <f t="shared" ca="1" si="11"/>
        <v>46288.803137615738</v>
      </c>
      <c r="N173">
        <f t="shared" si="12"/>
        <v>9</v>
      </c>
      <c r="O173">
        <f t="shared" ca="1" si="13"/>
        <v>168</v>
      </c>
      <c r="P173" s="3">
        <f t="shared" si="14"/>
        <v>46113</v>
      </c>
    </row>
    <row r="174" spans="1:16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  <c r="L174" s="3">
        <f t="shared" ca="1" si="10"/>
        <v>46288</v>
      </c>
      <c r="M174" s="12">
        <f t="shared" ca="1" si="11"/>
        <v>46288.803137615738</v>
      </c>
      <c r="N174">
        <f t="shared" si="12"/>
        <v>10</v>
      </c>
      <c r="O174">
        <f t="shared" ca="1" si="13"/>
        <v>238</v>
      </c>
      <c r="P174" s="3">
        <f t="shared" si="14"/>
        <v>46113</v>
      </c>
    </row>
    <row r="175" spans="1:16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  <c r="L175" s="3">
        <f t="shared" ca="1" si="10"/>
        <v>46288</v>
      </c>
      <c r="M175" s="12">
        <f t="shared" ca="1" si="11"/>
        <v>46288.803137615738</v>
      </c>
      <c r="N175">
        <f t="shared" si="12"/>
        <v>3</v>
      </c>
      <c r="O175">
        <f t="shared" ca="1" si="13"/>
        <v>222</v>
      </c>
      <c r="P175" s="3">
        <f t="shared" si="14"/>
        <v>46113</v>
      </c>
    </row>
    <row r="176" spans="1:16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  <c r="L176" s="3">
        <f t="shared" ca="1" si="10"/>
        <v>46288</v>
      </c>
      <c r="M176" s="12">
        <f t="shared" ca="1" si="11"/>
        <v>46288.803137615738</v>
      </c>
      <c r="N176">
        <f t="shared" si="12"/>
        <v>6</v>
      </c>
      <c r="O176">
        <f t="shared" ca="1" si="13"/>
        <v>200</v>
      </c>
      <c r="P176" s="3">
        <f t="shared" si="14"/>
        <v>46113</v>
      </c>
    </row>
    <row r="177" spans="1:16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  <c r="L177" s="3">
        <f t="shared" ca="1" si="10"/>
        <v>46288</v>
      </c>
      <c r="M177" s="12">
        <f t="shared" ca="1" si="11"/>
        <v>46288.803137615738</v>
      </c>
      <c r="N177">
        <f t="shared" si="12"/>
        <v>8</v>
      </c>
      <c r="O177">
        <f t="shared" ca="1" si="13"/>
        <v>240</v>
      </c>
      <c r="P177" s="3">
        <f t="shared" si="14"/>
        <v>46113</v>
      </c>
    </row>
    <row r="178" spans="1:16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  <c r="L178" s="3">
        <f t="shared" ca="1" si="10"/>
        <v>46288</v>
      </c>
      <c r="M178" s="12">
        <f t="shared" ca="1" si="11"/>
        <v>46288.803137615738</v>
      </c>
      <c r="N178">
        <f t="shared" si="12"/>
        <v>10</v>
      </c>
      <c r="O178">
        <f t="shared" ca="1" si="13"/>
        <v>119</v>
      </c>
      <c r="P178" s="3">
        <f t="shared" si="14"/>
        <v>46113</v>
      </c>
    </row>
    <row r="179" spans="1:16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  <c r="L179" s="3">
        <f t="shared" ca="1" si="10"/>
        <v>46288</v>
      </c>
      <c r="M179" s="12">
        <f t="shared" ca="1" si="11"/>
        <v>46288.803137615738</v>
      </c>
      <c r="N179">
        <f t="shared" si="12"/>
        <v>6</v>
      </c>
      <c r="O179">
        <f t="shared" ca="1" si="13"/>
        <v>177</v>
      </c>
      <c r="P179" s="3">
        <f t="shared" si="14"/>
        <v>46113</v>
      </c>
    </row>
    <row r="180" spans="1:16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  <c r="L180" s="3">
        <f t="shared" ca="1" si="10"/>
        <v>46288</v>
      </c>
      <c r="M180" s="12">
        <f t="shared" ca="1" si="11"/>
        <v>46288.803137615738</v>
      </c>
      <c r="N180">
        <f t="shared" si="12"/>
        <v>3</v>
      </c>
      <c r="O180">
        <f t="shared" ca="1" si="13"/>
        <v>133</v>
      </c>
      <c r="P180" s="3">
        <f t="shared" si="14"/>
        <v>46113</v>
      </c>
    </row>
    <row r="181" spans="1:16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  <c r="L181" s="3">
        <f t="shared" ca="1" si="10"/>
        <v>46288</v>
      </c>
      <c r="M181" s="12">
        <f t="shared" ca="1" si="11"/>
        <v>46288.803137615738</v>
      </c>
      <c r="N181">
        <f t="shared" si="12"/>
        <v>10</v>
      </c>
      <c r="O181">
        <f t="shared" ca="1" si="13"/>
        <v>177</v>
      </c>
      <c r="P181" s="3">
        <f t="shared" si="14"/>
        <v>46113</v>
      </c>
    </row>
    <row r="182" spans="1:16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  <c r="L182" s="3">
        <f t="shared" ca="1" si="10"/>
        <v>46288</v>
      </c>
      <c r="M182" s="12">
        <f t="shared" ca="1" si="11"/>
        <v>46288.803137615738</v>
      </c>
      <c r="N182">
        <f t="shared" si="12"/>
        <v>2</v>
      </c>
      <c r="O182">
        <f t="shared" ca="1" si="13"/>
        <v>255</v>
      </c>
      <c r="P182" s="3">
        <f t="shared" si="14"/>
        <v>46113</v>
      </c>
    </row>
    <row r="183" spans="1:16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  <c r="L183" s="3">
        <f t="shared" ca="1" si="10"/>
        <v>46288</v>
      </c>
      <c r="M183" s="12">
        <f t="shared" ca="1" si="11"/>
        <v>46288.803137615738</v>
      </c>
      <c r="N183">
        <f t="shared" si="12"/>
        <v>6</v>
      </c>
      <c r="O183">
        <f t="shared" ca="1" si="13"/>
        <v>180</v>
      </c>
      <c r="P183" s="3">
        <f t="shared" si="14"/>
        <v>46113</v>
      </c>
    </row>
    <row r="184" spans="1:16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  <c r="L184" s="3">
        <f t="shared" ca="1" si="10"/>
        <v>46288</v>
      </c>
      <c r="M184" s="12">
        <f t="shared" ca="1" si="11"/>
        <v>46288.803137615738</v>
      </c>
      <c r="N184">
        <f t="shared" si="12"/>
        <v>2</v>
      </c>
      <c r="O184">
        <f t="shared" ca="1" si="13"/>
        <v>179</v>
      </c>
      <c r="P184" s="3">
        <f t="shared" si="14"/>
        <v>46113</v>
      </c>
    </row>
    <row r="185" spans="1:16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  <c r="L185" s="3">
        <f t="shared" ca="1" si="10"/>
        <v>46288</v>
      </c>
      <c r="M185" s="12">
        <f t="shared" ca="1" si="11"/>
        <v>46288.803137615738</v>
      </c>
      <c r="N185">
        <f t="shared" si="12"/>
        <v>8</v>
      </c>
      <c r="O185">
        <f t="shared" ca="1" si="13"/>
        <v>143</v>
      </c>
      <c r="P185" s="3">
        <f t="shared" si="14"/>
        <v>46113</v>
      </c>
    </row>
    <row r="186" spans="1:16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  <c r="L186" s="3">
        <f t="shared" ca="1" si="10"/>
        <v>46288</v>
      </c>
      <c r="M186" s="12">
        <f t="shared" ca="1" si="11"/>
        <v>46288.803137615738</v>
      </c>
      <c r="N186">
        <f t="shared" si="12"/>
        <v>3</v>
      </c>
      <c r="O186">
        <f t="shared" ca="1" si="13"/>
        <v>135</v>
      </c>
      <c r="P186" s="3">
        <f t="shared" si="14"/>
        <v>46113</v>
      </c>
    </row>
    <row r="187" spans="1:16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  <c r="L187" s="3">
        <f t="shared" ca="1" si="10"/>
        <v>46288</v>
      </c>
      <c r="M187" s="12">
        <f t="shared" ca="1" si="11"/>
        <v>46288.803137615738</v>
      </c>
      <c r="N187">
        <f t="shared" si="12"/>
        <v>8</v>
      </c>
      <c r="O187">
        <f t="shared" ca="1" si="13"/>
        <v>100</v>
      </c>
      <c r="P187" s="3">
        <f t="shared" si="14"/>
        <v>46113</v>
      </c>
    </row>
    <row r="188" spans="1:16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  <c r="L188" s="3">
        <f t="shared" ca="1" si="10"/>
        <v>46288</v>
      </c>
      <c r="M188" s="12">
        <f t="shared" ca="1" si="11"/>
        <v>46288.803137615738</v>
      </c>
      <c r="N188">
        <f t="shared" si="12"/>
        <v>6</v>
      </c>
      <c r="O188">
        <f t="shared" ca="1" si="13"/>
        <v>110</v>
      </c>
      <c r="P188" s="3">
        <f t="shared" si="14"/>
        <v>46113</v>
      </c>
    </row>
    <row r="189" spans="1:16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  <c r="L189" s="3">
        <f t="shared" ca="1" si="10"/>
        <v>46288</v>
      </c>
      <c r="M189" s="12">
        <f t="shared" ca="1" si="11"/>
        <v>46288.803137615738</v>
      </c>
      <c r="N189">
        <f t="shared" si="12"/>
        <v>5</v>
      </c>
      <c r="O189">
        <f t="shared" ca="1" si="13"/>
        <v>151</v>
      </c>
      <c r="P189" s="3">
        <f t="shared" si="14"/>
        <v>46113</v>
      </c>
    </row>
    <row r="190" spans="1:16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  <c r="L190" s="3">
        <f t="shared" ca="1" si="10"/>
        <v>46288</v>
      </c>
      <c r="M190" s="12">
        <f t="shared" ca="1" si="11"/>
        <v>46288.803137615738</v>
      </c>
      <c r="N190">
        <f t="shared" si="12"/>
        <v>1</v>
      </c>
      <c r="O190">
        <f t="shared" ca="1" si="13"/>
        <v>104</v>
      </c>
      <c r="P190" s="3">
        <f t="shared" si="14"/>
        <v>46113</v>
      </c>
    </row>
    <row r="191" spans="1:16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  <c r="L191" s="3">
        <f t="shared" ca="1" si="10"/>
        <v>46288</v>
      </c>
      <c r="M191" s="12">
        <f t="shared" ca="1" si="11"/>
        <v>46288.803137615738</v>
      </c>
      <c r="N191">
        <f t="shared" si="12"/>
        <v>10</v>
      </c>
      <c r="O191">
        <f t="shared" ca="1" si="13"/>
        <v>236</v>
      </c>
      <c r="P191" s="3">
        <f t="shared" si="14"/>
        <v>46113</v>
      </c>
    </row>
    <row r="192" spans="1:16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  <c r="L192" s="3">
        <f t="shared" ca="1" si="10"/>
        <v>46288</v>
      </c>
      <c r="M192" s="12">
        <f t="shared" ca="1" si="11"/>
        <v>46288.803137615738</v>
      </c>
      <c r="N192">
        <f t="shared" si="12"/>
        <v>7</v>
      </c>
      <c r="O192">
        <f t="shared" ca="1" si="13"/>
        <v>139</v>
      </c>
      <c r="P192" s="3">
        <f t="shared" si="14"/>
        <v>46113</v>
      </c>
    </row>
    <row r="193" spans="1:16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  <c r="L193" s="3">
        <f t="shared" ca="1" si="10"/>
        <v>46288</v>
      </c>
      <c r="M193" s="12">
        <f t="shared" ca="1" si="11"/>
        <v>46288.803137615738</v>
      </c>
      <c r="N193">
        <f t="shared" si="12"/>
        <v>6</v>
      </c>
      <c r="O193">
        <f t="shared" ca="1" si="13"/>
        <v>199</v>
      </c>
      <c r="P193" s="3">
        <f t="shared" si="14"/>
        <v>46113</v>
      </c>
    </row>
    <row r="194" spans="1:16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  <c r="L194" s="3">
        <f t="shared" ca="1" si="10"/>
        <v>46288</v>
      </c>
      <c r="M194" s="12">
        <f t="shared" ca="1" si="11"/>
        <v>46288.803137615738</v>
      </c>
      <c r="N194">
        <f t="shared" si="12"/>
        <v>2</v>
      </c>
      <c r="O194">
        <f t="shared" ca="1" si="13"/>
        <v>178</v>
      </c>
      <c r="P194" s="3">
        <f t="shared" si="14"/>
        <v>46113</v>
      </c>
    </row>
    <row r="195" spans="1:16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  <c r="L195" s="3">
        <f t="shared" ref="L195:L258" ca="1" si="15">TODAY()</f>
        <v>46288</v>
      </c>
      <c r="M195" s="12">
        <f t="shared" ref="M195:M258" ca="1" si="16">NOW()</f>
        <v>46288.803137615738</v>
      </c>
      <c r="N195">
        <f t="shared" ref="N195:N258" si="17">DATEDIF(I195, J195, "D")</f>
        <v>4</v>
      </c>
      <c r="O195">
        <f t="shared" ref="O195:O258" ca="1" si="18">DATEDIF(I195, TODAY(), "d")</f>
        <v>159</v>
      </c>
      <c r="P195" s="3">
        <f t="shared" ref="P195:P258" si="19">DATE(2026, 4, 1)</f>
        <v>46113</v>
      </c>
    </row>
    <row r="196" spans="1:16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  <c r="L196" s="3">
        <f t="shared" ca="1" si="15"/>
        <v>46288</v>
      </c>
      <c r="M196" s="12">
        <f t="shared" ca="1" si="16"/>
        <v>46288.803137615738</v>
      </c>
      <c r="N196">
        <f t="shared" si="17"/>
        <v>8</v>
      </c>
      <c r="O196">
        <f t="shared" ca="1" si="18"/>
        <v>90</v>
      </c>
      <c r="P196" s="3">
        <f t="shared" si="19"/>
        <v>46113</v>
      </c>
    </row>
    <row r="197" spans="1:16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  <c r="L197" s="3">
        <f t="shared" ca="1" si="15"/>
        <v>46288</v>
      </c>
      <c r="M197" s="12">
        <f t="shared" ca="1" si="16"/>
        <v>46288.803137615738</v>
      </c>
      <c r="N197">
        <f t="shared" si="17"/>
        <v>4</v>
      </c>
      <c r="O197">
        <f t="shared" ca="1" si="18"/>
        <v>133</v>
      </c>
      <c r="P197" s="3">
        <f t="shared" si="19"/>
        <v>46113</v>
      </c>
    </row>
    <row r="198" spans="1:16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  <c r="L198" s="3">
        <f t="shared" ca="1" si="15"/>
        <v>46288</v>
      </c>
      <c r="M198" s="12">
        <f t="shared" ca="1" si="16"/>
        <v>46288.803137615738</v>
      </c>
      <c r="N198">
        <f t="shared" si="17"/>
        <v>3</v>
      </c>
      <c r="O198">
        <f t="shared" ca="1" si="18"/>
        <v>243</v>
      </c>
      <c r="P198" s="3">
        <f t="shared" si="19"/>
        <v>46113</v>
      </c>
    </row>
    <row r="199" spans="1:16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  <c r="L199" s="3">
        <f t="shared" ca="1" si="15"/>
        <v>46288</v>
      </c>
      <c r="M199" s="12">
        <f t="shared" ca="1" si="16"/>
        <v>46288.803137615738</v>
      </c>
      <c r="N199">
        <f t="shared" si="17"/>
        <v>3</v>
      </c>
      <c r="O199">
        <f t="shared" ca="1" si="18"/>
        <v>182</v>
      </c>
      <c r="P199" s="3">
        <f t="shared" si="19"/>
        <v>46113</v>
      </c>
    </row>
    <row r="200" spans="1:16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  <c r="L200" s="3">
        <f t="shared" ca="1" si="15"/>
        <v>46288</v>
      </c>
      <c r="M200" s="12">
        <f t="shared" ca="1" si="16"/>
        <v>46288.803137615738</v>
      </c>
      <c r="N200">
        <f t="shared" si="17"/>
        <v>2</v>
      </c>
      <c r="O200">
        <f t="shared" ca="1" si="18"/>
        <v>110</v>
      </c>
      <c r="P200" s="3">
        <f t="shared" si="19"/>
        <v>46113</v>
      </c>
    </row>
    <row r="201" spans="1:16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  <c r="L201" s="3">
        <f t="shared" ca="1" si="15"/>
        <v>46288</v>
      </c>
      <c r="M201" s="12">
        <f t="shared" ca="1" si="16"/>
        <v>46288.803137615738</v>
      </c>
      <c r="N201">
        <f t="shared" si="17"/>
        <v>9</v>
      </c>
      <c r="O201">
        <f t="shared" ca="1" si="18"/>
        <v>154</v>
      </c>
      <c r="P201" s="3">
        <f t="shared" si="19"/>
        <v>46113</v>
      </c>
    </row>
    <row r="202" spans="1:16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  <c r="L202" s="3">
        <f t="shared" ca="1" si="15"/>
        <v>46288</v>
      </c>
      <c r="M202" s="12">
        <f t="shared" ca="1" si="16"/>
        <v>46288.803137615738</v>
      </c>
      <c r="N202">
        <f t="shared" si="17"/>
        <v>1</v>
      </c>
      <c r="O202">
        <f t="shared" ca="1" si="18"/>
        <v>213</v>
      </c>
      <c r="P202" s="3">
        <f t="shared" si="19"/>
        <v>46113</v>
      </c>
    </row>
    <row r="203" spans="1:16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  <c r="L203" s="3">
        <f t="shared" ca="1" si="15"/>
        <v>46288</v>
      </c>
      <c r="M203" s="12">
        <f t="shared" ca="1" si="16"/>
        <v>46288.803137615738</v>
      </c>
      <c r="N203">
        <f t="shared" si="17"/>
        <v>9</v>
      </c>
      <c r="O203">
        <f t="shared" ca="1" si="18"/>
        <v>206</v>
      </c>
      <c r="P203" s="3">
        <f t="shared" si="19"/>
        <v>46113</v>
      </c>
    </row>
    <row r="204" spans="1:16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  <c r="L204" s="3">
        <f t="shared" ca="1" si="15"/>
        <v>46288</v>
      </c>
      <c r="M204" s="12">
        <f t="shared" ca="1" si="16"/>
        <v>46288.803137615738</v>
      </c>
      <c r="N204">
        <f t="shared" si="17"/>
        <v>3</v>
      </c>
      <c r="O204">
        <f t="shared" ca="1" si="18"/>
        <v>169</v>
      </c>
      <c r="P204" s="3">
        <f t="shared" si="19"/>
        <v>46113</v>
      </c>
    </row>
    <row r="205" spans="1:16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  <c r="L205" s="3">
        <f t="shared" ca="1" si="15"/>
        <v>46288</v>
      </c>
      <c r="M205" s="12">
        <f t="shared" ca="1" si="16"/>
        <v>46288.803137615738</v>
      </c>
      <c r="N205">
        <f t="shared" si="17"/>
        <v>9</v>
      </c>
      <c r="O205">
        <f t="shared" ca="1" si="18"/>
        <v>165</v>
      </c>
      <c r="P205" s="3">
        <f t="shared" si="19"/>
        <v>46113</v>
      </c>
    </row>
    <row r="206" spans="1:16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  <c r="L206" s="3">
        <f t="shared" ca="1" si="15"/>
        <v>46288</v>
      </c>
      <c r="M206" s="12">
        <f t="shared" ca="1" si="16"/>
        <v>46288.803137615738</v>
      </c>
      <c r="N206">
        <f t="shared" si="17"/>
        <v>7</v>
      </c>
      <c r="O206">
        <f t="shared" ca="1" si="18"/>
        <v>255</v>
      </c>
      <c r="P206" s="3">
        <f t="shared" si="19"/>
        <v>46113</v>
      </c>
    </row>
    <row r="207" spans="1:16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  <c r="L207" s="3">
        <f t="shared" ca="1" si="15"/>
        <v>46288</v>
      </c>
      <c r="M207" s="12">
        <f t="shared" ca="1" si="16"/>
        <v>46288.803137615738</v>
      </c>
      <c r="N207">
        <f t="shared" si="17"/>
        <v>8</v>
      </c>
      <c r="O207">
        <f t="shared" ca="1" si="18"/>
        <v>122</v>
      </c>
      <c r="P207" s="3">
        <f t="shared" si="19"/>
        <v>46113</v>
      </c>
    </row>
    <row r="208" spans="1:16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  <c r="L208" s="3">
        <f t="shared" ca="1" si="15"/>
        <v>46288</v>
      </c>
      <c r="M208" s="12">
        <f t="shared" ca="1" si="16"/>
        <v>46288.803137615738</v>
      </c>
      <c r="N208">
        <f t="shared" si="17"/>
        <v>9</v>
      </c>
      <c r="O208">
        <f t="shared" ca="1" si="18"/>
        <v>124</v>
      </c>
      <c r="P208" s="3">
        <f t="shared" si="19"/>
        <v>46113</v>
      </c>
    </row>
    <row r="209" spans="1:16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  <c r="L209" s="3">
        <f t="shared" ca="1" si="15"/>
        <v>46288</v>
      </c>
      <c r="M209" s="12">
        <f t="shared" ca="1" si="16"/>
        <v>46288.803137615738</v>
      </c>
      <c r="N209">
        <f t="shared" si="17"/>
        <v>5</v>
      </c>
      <c r="O209">
        <f t="shared" ca="1" si="18"/>
        <v>246</v>
      </c>
      <c r="P209" s="3">
        <f t="shared" si="19"/>
        <v>46113</v>
      </c>
    </row>
    <row r="210" spans="1:16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  <c r="L210" s="3">
        <f t="shared" ca="1" si="15"/>
        <v>46288</v>
      </c>
      <c r="M210" s="12">
        <f t="shared" ca="1" si="16"/>
        <v>46288.803137615738</v>
      </c>
      <c r="N210">
        <f t="shared" si="17"/>
        <v>7</v>
      </c>
      <c r="O210">
        <f t="shared" ca="1" si="18"/>
        <v>185</v>
      </c>
      <c r="P210" s="3">
        <f t="shared" si="19"/>
        <v>46113</v>
      </c>
    </row>
    <row r="211" spans="1:16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  <c r="L211" s="3">
        <f t="shared" ca="1" si="15"/>
        <v>46288</v>
      </c>
      <c r="M211" s="12">
        <f t="shared" ca="1" si="16"/>
        <v>46288.803137615738</v>
      </c>
      <c r="N211">
        <f t="shared" si="17"/>
        <v>8</v>
      </c>
      <c r="O211">
        <f t="shared" ca="1" si="18"/>
        <v>236</v>
      </c>
      <c r="P211" s="3">
        <f t="shared" si="19"/>
        <v>46113</v>
      </c>
    </row>
    <row r="212" spans="1:16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  <c r="L212" s="3">
        <f t="shared" ca="1" si="15"/>
        <v>46288</v>
      </c>
      <c r="M212" s="12">
        <f t="shared" ca="1" si="16"/>
        <v>46288.803137615738</v>
      </c>
      <c r="N212">
        <f t="shared" si="17"/>
        <v>8</v>
      </c>
      <c r="O212">
        <f t="shared" ca="1" si="18"/>
        <v>113</v>
      </c>
      <c r="P212" s="3">
        <f t="shared" si="19"/>
        <v>46113</v>
      </c>
    </row>
    <row r="213" spans="1:16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  <c r="L213" s="3">
        <f t="shared" ca="1" si="15"/>
        <v>46288</v>
      </c>
      <c r="M213" s="12">
        <f t="shared" ca="1" si="16"/>
        <v>46288.803137615738</v>
      </c>
      <c r="N213">
        <f t="shared" si="17"/>
        <v>1</v>
      </c>
      <c r="O213">
        <f t="shared" ca="1" si="18"/>
        <v>94</v>
      </c>
      <c r="P213" s="3">
        <f t="shared" si="19"/>
        <v>46113</v>
      </c>
    </row>
    <row r="214" spans="1:16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  <c r="L214" s="3">
        <f t="shared" ca="1" si="15"/>
        <v>46288</v>
      </c>
      <c r="M214" s="12">
        <f t="shared" ca="1" si="16"/>
        <v>46288.803137615738</v>
      </c>
      <c r="N214">
        <f t="shared" si="17"/>
        <v>3</v>
      </c>
      <c r="O214">
        <f t="shared" ca="1" si="18"/>
        <v>172</v>
      </c>
      <c r="P214" s="3">
        <f t="shared" si="19"/>
        <v>46113</v>
      </c>
    </row>
    <row r="215" spans="1:16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  <c r="L215" s="3">
        <f t="shared" ca="1" si="15"/>
        <v>46288</v>
      </c>
      <c r="M215" s="12">
        <f t="shared" ca="1" si="16"/>
        <v>46288.803137615738</v>
      </c>
      <c r="N215">
        <f t="shared" si="17"/>
        <v>5</v>
      </c>
      <c r="O215">
        <f t="shared" ca="1" si="18"/>
        <v>148</v>
      </c>
      <c r="P215" s="3">
        <f t="shared" si="19"/>
        <v>46113</v>
      </c>
    </row>
    <row r="216" spans="1:16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  <c r="L216" s="3">
        <f t="shared" ca="1" si="15"/>
        <v>46288</v>
      </c>
      <c r="M216" s="12">
        <f t="shared" ca="1" si="16"/>
        <v>46288.803137615738</v>
      </c>
      <c r="N216">
        <f t="shared" si="17"/>
        <v>5</v>
      </c>
      <c r="O216">
        <f t="shared" ca="1" si="18"/>
        <v>157</v>
      </c>
      <c r="P216" s="3">
        <f t="shared" si="19"/>
        <v>46113</v>
      </c>
    </row>
    <row r="217" spans="1:16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  <c r="L217" s="3">
        <f t="shared" ca="1" si="15"/>
        <v>46288</v>
      </c>
      <c r="M217" s="12">
        <f t="shared" ca="1" si="16"/>
        <v>46288.803137615738</v>
      </c>
      <c r="N217">
        <f t="shared" si="17"/>
        <v>4</v>
      </c>
      <c r="O217">
        <f t="shared" ca="1" si="18"/>
        <v>153</v>
      </c>
      <c r="P217" s="3">
        <f t="shared" si="19"/>
        <v>46113</v>
      </c>
    </row>
    <row r="218" spans="1:16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  <c r="L218" s="3">
        <f t="shared" ca="1" si="15"/>
        <v>46288</v>
      </c>
      <c r="M218" s="12">
        <f t="shared" ca="1" si="16"/>
        <v>46288.803137615738</v>
      </c>
      <c r="N218">
        <f t="shared" si="17"/>
        <v>1</v>
      </c>
      <c r="O218">
        <f t="shared" ca="1" si="18"/>
        <v>117</v>
      </c>
      <c r="P218" s="3">
        <f t="shared" si="19"/>
        <v>46113</v>
      </c>
    </row>
    <row r="219" spans="1:16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  <c r="L219" s="3">
        <f t="shared" ca="1" si="15"/>
        <v>46288</v>
      </c>
      <c r="M219" s="12">
        <f t="shared" ca="1" si="16"/>
        <v>46288.803137615738</v>
      </c>
      <c r="N219">
        <f t="shared" si="17"/>
        <v>8</v>
      </c>
      <c r="O219">
        <f t="shared" ca="1" si="18"/>
        <v>145</v>
      </c>
      <c r="P219" s="3">
        <f t="shared" si="19"/>
        <v>46113</v>
      </c>
    </row>
    <row r="220" spans="1:16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  <c r="L220" s="3">
        <f t="shared" ca="1" si="15"/>
        <v>46288</v>
      </c>
      <c r="M220" s="12">
        <f t="shared" ca="1" si="16"/>
        <v>46288.803137615738</v>
      </c>
      <c r="N220">
        <f t="shared" si="17"/>
        <v>4</v>
      </c>
      <c r="O220">
        <f t="shared" ca="1" si="18"/>
        <v>86</v>
      </c>
      <c r="P220" s="3">
        <f t="shared" si="19"/>
        <v>46113</v>
      </c>
    </row>
    <row r="221" spans="1:16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  <c r="L221" s="3">
        <f t="shared" ca="1" si="15"/>
        <v>46288</v>
      </c>
      <c r="M221" s="12">
        <f t="shared" ca="1" si="16"/>
        <v>46288.803137615738</v>
      </c>
      <c r="N221">
        <f t="shared" si="17"/>
        <v>4</v>
      </c>
      <c r="O221">
        <f t="shared" ca="1" si="18"/>
        <v>118</v>
      </c>
      <c r="P221" s="3">
        <f t="shared" si="19"/>
        <v>46113</v>
      </c>
    </row>
    <row r="222" spans="1:16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  <c r="L222" s="3">
        <f t="shared" ca="1" si="15"/>
        <v>46288</v>
      </c>
      <c r="M222" s="12">
        <f t="shared" ca="1" si="16"/>
        <v>46288.803137615738</v>
      </c>
      <c r="N222">
        <f t="shared" si="17"/>
        <v>3</v>
      </c>
      <c r="O222">
        <f t="shared" ca="1" si="18"/>
        <v>166</v>
      </c>
      <c r="P222" s="3">
        <f t="shared" si="19"/>
        <v>46113</v>
      </c>
    </row>
    <row r="223" spans="1:16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  <c r="L223" s="3">
        <f t="shared" ca="1" si="15"/>
        <v>46288</v>
      </c>
      <c r="M223" s="12">
        <f t="shared" ca="1" si="16"/>
        <v>46288.803137615738</v>
      </c>
      <c r="N223">
        <f t="shared" si="17"/>
        <v>9</v>
      </c>
      <c r="O223">
        <f t="shared" ca="1" si="18"/>
        <v>134</v>
      </c>
      <c r="P223" s="3">
        <f t="shared" si="19"/>
        <v>46113</v>
      </c>
    </row>
    <row r="224" spans="1:16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  <c r="L224" s="3">
        <f t="shared" ca="1" si="15"/>
        <v>46288</v>
      </c>
      <c r="M224" s="12">
        <f t="shared" ca="1" si="16"/>
        <v>46288.803137615738</v>
      </c>
      <c r="N224">
        <f t="shared" si="17"/>
        <v>7</v>
      </c>
      <c r="O224">
        <f t="shared" ca="1" si="18"/>
        <v>211</v>
      </c>
      <c r="P224" s="3">
        <f t="shared" si="19"/>
        <v>46113</v>
      </c>
    </row>
    <row r="225" spans="1:16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  <c r="L225" s="3">
        <f t="shared" ca="1" si="15"/>
        <v>46288</v>
      </c>
      <c r="M225" s="12">
        <f t="shared" ca="1" si="16"/>
        <v>46288.803137615738</v>
      </c>
      <c r="N225">
        <f t="shared" si="17"/>
        <v>7</v>
      </c>
      <c r="O225">
        <f t="shared" ca="1" si="18"/>
        <v>243</v>
      </c>
      <c r="P225" s="3">
        <f t="shared" si="19"/>
        <v>46113</v>
      </c>
    </row>
    <row r="226" spans="1:16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  <c r="L226" s="3">
        <f t="shared" ca="1" si="15"/>
        <v>46288</v>
      </c>
      <c r="M226" s="12">
        <f t="shared" ca="1" si="16"/>
        <v>46288.803137615738</v>
      </c>
      <c r="N226">
        <f t="shared" si="17"/>
        <v>1</v>
      </c>
      <c r="O226">
        <f t="shared" ca="1" si="18"/>
        <v>163</v>
      </c>
      <c r="P226" s="3">
        <f t="shared" si="19"/>
        <v>46113</v>
      </c>
    </row>
    <row r="227" spans="1:16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  <c r="L227" s="3">
        <f t="shared" ca="1" si="15"/>
        <v>46288</v>
      </c>
      <c r="M227" s="12">
        <f t="shared" ca="1" si="16"/>
        <v>46288.803137615738</v>
      </c>
      <c r="N227">
        <f t="shared" si="17"/>
        <v>4</v>
      </c>
      <c r="O227">
        <f t="shared" ca="1" si="18"/>
        <v>244</v>
      </c>
      <c r="P227" s="3">
        <f t="shared" si="19"/>
        <v>46113</v>
      </c>
    </row>
    <row r="228" spans="1:16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  <c r="L228" s="3">
        <f t="shared" ca="1" si="15"/>
        <v>46288</v>
      </c>
      <c r="M228" s="12">
        <f t="shared" ca="1" si="16"/>
        <v>46288.803137615738</v>
      </c>
      <c r="N228">
        <f t="shared" si="17"/>
        <v>3</v>
      </c>
      <c r="O228">
        <f t="shared" ca="1" si="18"/>
        <v>175</v>
      </c>
      <c r="P228" s="3">
        <f t="shared" si="19"/>
        <v>46113</v>
      </c>
    </row>
    <row r="229" spans="1:16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  <c r="L229" s="3">
        <f t="shared" ca="1" si="15"/>
        <v>46288</v>
      </c>
      <c r="M229" s="12">
        <f t="shared" ca="1" si="16"/>
        <v>46288.803137615738</v>
      </c>
      <c r="N229">
        <f t="shared" si="17"/>
        <v>2</v>
      </c>
      <c r="O229">
        <f t="shared" ca="1" si="18"/>
        <v>247</v>
      </c>
      <c r="P229" s="3">
        <f t="shared" si="19"/>
        <v>46113</v>
      </c>
    </row>
    <row r="230" spans="1:16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  <c r="L230" s="3">
        <f t="shared" ca="1" si="15"/>
        <v>46288</v>
      </c>
      <c r="M230" s="12">
        <f t="shared" ca="1" si="16"/>
        <v>46288.803137615738</v>
      </c>
      <c r="N230">
        <f t="shared" si="17"/>
        <v>9</v>
      </c>
      <c r="O230">
        <f t="shared" ca="1" si="18"/>
        <v>261</v>
      </c>
      <c r="P230" s="3">
        <f t="shared" si="19"/>
        <v>46113</v>
      </c>
    </row>
    <row r="231" spans="1:16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  <c r="L231" s="3">
        <f t="shared" ca="1" si="15"/>
        <v>46288</v>
      </c>
      <c r="M231" s="12">
        <f t="shared" ca="1" si="16"/>
        <v>46288.803137615738</v>
      </c>
      <c r="N231">
        <f t="shared" si="17"/>
        <v>9</v>
      </c>
      <c r="O231">
        <f t="shared" ca="1" si="18"/>
        <v>238</v>
      </c>
      <c r="P231" s="3">
        <f t="shared" si="19"/>
        <v>46113</v>
      </c>
    </row>
    <row r="232" spans="1:16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  <c r="L232" s="3">
        <f t="shared" ca="1" si="15"/>
        <v>46288</v>
      </c>
      <c r="M232" s="12">
        <f t="shared" ca="1" si="16"/>
        <v>46288.803137615738</v>
      </c>
      <c r="N232">
        <f t="shared" si="17"/>
        <v>8</v>
      </c>
      <c r="O232">
        <f t="shared" ca="1" si="18"/>
        <v>110</v>
      </c>
      <c r="P232" s="3">
        <f t="shared" si="19"/>
        <v>46113</v>
      </c>
    </row>
    <row r="233" spans="1:16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  <c r="L233" s="3">
        <f t="shared" ca="1" si="15"/>
        <v>46288</v>
      </c>
      <c r="M233" s="12">
        <f t="shared" ca="1" si="16"/>
        <v>46288.803137615738</v>
      </c>
      <c r="N233">
        <f t="shared" si="17"/>
        <v>5</v>
      </c>
      <c r="O233">
        <f t="shared" ca="1" si="18"/>
        <v>228</v>
      </c>
      <c r="P233" s="3">
        <f t="shared" si="19"/>
        <v>46113</v>
      </c>
    </row>
    <row r="234" spans="1:16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  <c r="L234" s="3">
        <f t="shared" ca="1" si="15"/>
        <v>46288</v>
      </c>
      <c r="M234" s="12">
        <f t="shared" ca="1" si="16"/>
        <v>46288.803137615738</v>
      </c>
      <c r="N234">
        <f t="shared" si="17"/>
        <v>4</v>
      </c>
      <c r="O234">
        <f t="shared" ca="1" si="18"/>
        <v>90</v>
      </c>
      <c r="P234" s="3">
        <f t="shared" si="19"/>
        <v>46113</v>
      </c>
    </row>
    <row r="235" spans="1:16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  <c r="L235" s="3">
        <f t="shared" ca="1" si="15"/>
        <v>46288</v>
      </c>
      <c r="M235" s="12">
        <f t="shared" ca="1" si="16"/>
        <v>46288.803137615738</v>
      </c>
      <c r="N235">
        <f t="shared" si="17"/>
        <v>7</v>
      </c>
      <c r="O235">
        <f t="shared" ca="1" si="18"/>
        <v>174</v>
      </c>
      <c r="P235" s="3">
        <f t="shared" si="19"/>
        <v>46113</v>
      </c>
    </row>
    <row r="236" spans="1:16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  <c r="L236" s="3">
        <f t="shared" ca="1" si="15"/>
        <v>46288</v>
      </c>
      <c r="M236" s="12">
        <f t="shared" ca="1" si="16"/>
        <v>46288.803137615738</v>
      </c>
      <c r="N236">
        <f t="shared" si="17"/>
        <v>5</v>
      </c>
      <c r="O236">
        <f t="shared" ca="1" si="18"/>
        <v>116</v>
      </c>
      <c r="P236" s="3">
        <f t="shared" si="19"/>
        <v>46113</v>
      </c>
    </row>
    <row r="237" spans="1:16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  <c r="L237" s="3">
        <f t="shared" ca="1" si="15"/>
        <v>46288</v>
      </c>
      <c r="M237" s="12">
        <f t="shared" ca="1" si="16"/>
        <v>46288.803137615738</v>
      </c>
      <c r="N237">
        <f t="shared" si="17"/>
        <v>5</v>
      </c>
      <c r="O237">
        <f t="shared" ca="1" si="18"/>
        <v>124</v>
      </c>
      <c r="P237" s="3">
        <f t="shared" si="19"/>
        <v>46113</v>
      </c>
    </row>
    <row r="238" spans="1:16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  <c r="L238" s="3">
        <f t="shared" ca="1" si="15"/>
        <v>46288</v>
      </c>
      <c r="M238" s="12">
        <f t="shared" ca="1" si="16"/>
        <v>46288.803137615738</v>
      </c>
      <c r="N238">
        <f t="shared" si="17"/>
        <v>8</v>
      </c>
      <c r="O238">
        <f t="shared" ca="1" si="18"/>
        <v>151</v>
      </c>
      <c r="P238" s="3">
        <f t="shared" si="19"/>
        <v>46113</v>
      </c>
    </row>
    <row r="239" spans="1:16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  <c r="L239" s="3">
        <f t="shared" ca="1" si="15"/>
        <v>46288</v>
      </c>
      <c r="M239" s="12">
        <f t="shared" ca="1" si="16"/>
        <v>46288.803137615738</v>
      </c>
      <c r="N239">
        <f t="shared" si="17"/>
        <v>1</v>
      </c>
      <c r="O239">
        <f t="shared" ca="1" si="18"/>
        <v>192</v>
      </c>
      <c r="P239" s="3">
        <f t="shared" si="19"/>
        <v>46113</v>
      </c>
    </row>
    <row r="240" spans="1:16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  <c r="L240" s="3">
        <f t="shared" ca="1" si="15"/>
        <v>46288</v>
      </c>
      <c r="M240" s="12">
        <f t="shared" ca="1" si="16"/>
        <v>46288.803137615738</v>
      </c>
      <c r="N240">
        <f t="shared" si="17"/>
        <v>3</v>
      </c>
      <c r="O240">
        <f t="shared" ca="1" si="18"/>
        <v>166</v>
      </c>
      <c r="P240" s="3">
        <f t="shared" si="19"/>
        <v>46113</v>
      </c>
    </row>
    <row r="241" spans="1:16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  <c r="L241" s="3">
        <f t="shared" ca="1" si="15"/>
        <v>46288</v>
      </c>
      <c r="M241" s="12">
        <f t="shared" ca="1" si="16"/>
        <v>46288.803137615738</v>
      </c>
      <c r="N241">
        <f t="shared" si="17"/>
        <v>4</v>
      </c>
      <c r="O241">
        <f t="shared" ca="1" si="18"/>
        <v>146</v>
      </c>
      <c r="P241" s="3">
        <f t="shared" si="19"/>
        <v>46113</v>
      </c>
    </row>
    <row r="242" spans="1:16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  <c r="L242" s="3">
        <f t="shared" ca="1" si="15"/>
        <v>46288</v>
      </c>
      <c r="M242" s="12">
        <f t="shared" ca="1" si="16"/>
        <v>46288.803137615738</v>
      </c>
      <c r="N242">
        <f t="shared" si="17"/>
        <v>3</v>
      </c>
      <c r="O242">
        <f t="shared" ca="1" si="18"/>
        <v>169</v>
      </c>
      <c r="P242" s="3">
        <f t="shared" si="19"/>
        <v>46113</v>
      </c>
    </row>
    <row r="243" spans="1:16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  <c r="L243" s="3">
        <f t="shared" ca="1" si="15"/>
        <v>46288</v>
      </c>
      <c r="M243" s="12">
        <f t="shared" ca="1" si="16"/>
        <v>46288.803137615738</v>
      </c>
      <c r="N243">
        <f t="shared" si="17"/>
        <v>5</v>
      </c>
      <c r="O243">
        <f t="shared" ca="1" si="18"/>
        <v>97</v>
      </c>
      <c r="P243" s="3">
        <f t="shared" si="19"/>
        <v>46113</v>
      </c>
    </row>
    <row r="244" spans="1:16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  <c r="L244" s="3">
        <f t="shared" ca="1" si="15"/>
        <v>46288</v>
      </c>
      <c r="M244" s="12">
        <f t="shared" ca="1" si="16"/>
        <v>46288.803137615738</v>
      </c>
      <c r="N244">
        <f t="shared" si="17"/>
        <v>8</v>
      </c>
      <c r="O244">
        <f t="shared" ca="1" si="18"/>
        <v>219</v>
      </c>
      <c r="P244" s="3">
        <f t="shared" si="19"/>
        <v>46113</v>
      </c>
    </row>
    <row r="245" spans="1:16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  <c r="L245" s="3">
        <f t="shared" ca="1" si="15"/>
        <v>46288</v>
      </c>
      <c r="M245" s="12">
        <f t="shared" ca="1" si="16"/>
        <v>46288.803137615738</v>
      </c>
      <c r="N245">
        <f t="shared" si="17"/>
        <v>5</v>
      </c>
      <c r="O245">
        <f t="shared" ca="1" si="18"/>
        <v>88</v>
      </c>
      <c r="P245" s="3">
        <f t="shared" si="19"/>
        <v>46113</v>
      </c>
    </row>
    <row r="246" spans="1:16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  <c r="L246" s="3">
        <f t="shared" ca="1" si="15"/>
        <v>46288</v>
      </c>
      <c r="M246" s="12">
        <f t="shared" ca="1" si="16"/>
        <v>46288.803137615738</v>
      </c>
      <c r="N246">
        <f t="shared" si="17"/>
        <v>3</v>
      </c>
      <c r="O246">
        <f t="shared" ca="1" si="18"/>
        <v>112</v>
      </c>
      <c r="P246" s="3">
        <f t="shared" si="19"/>
        <v>46113</v>
      </c>
    </row>
    <row r="247" spans="1:16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  <c r="L247" s="3">
        <f t="shared" ca="1" si="15"/>
        <v>46288</v>
      </c>
      <c r="M247" s="12">
        <f t="shared" ca="1" si="16"/>
        <v>46288.803137615738</v>
      </c>
      <c r="N247">
        <f t="shared" si="17"/>
        <v>6</v>
      </c>
      <c r="O247">
        <f t="shared" ca="1" si="18"/>
        <v>249</v>
      </c>
      <c r="P247" s="3">
        <f t="shared" si="19"/>
        <v>46113</v>
      </c>
    </row>
    <row r="248" spans="1:16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  <c r="L248" s="3">
        <f t="shared" ca="1" si="15"/>
        <v>46288</v>
      </c>
      <c r="M248" s="12">
        <f t="shared" ca="1" si="16"/>
        <v>46288.803137615738</v>
      </c>
      <c r="N248">
        <f t="shared" si="17"/>
        <v>2</v>
      </c>
      <c r="O248">
        <f t="shared" ca="1" si="18"/>
        <v>115</v>
      </c>
      <c r="P248" s="3">
        <f t="shared" si="19"/>
        <v>46113</v>
      </c>
    </row>
    <row r="249" spans="1:16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  <c r="L249" s="3">
        <f t="shared" ca="1" si="15"/>
        <v>46288</v>
      </c>
      <c r="M249" s="12">
        <f t="shared" ca="1" si="16"/>
        <v>46288.803137615738</v>
      </c>
      <c r="N249">
        <f t="shared" si="17"/>
        <v>10</v>
      </c>
      <c r="O249">
        <f t="shared" ca="1" si="18"/>
        <v>127</v>
      </c>
      <c r="P249" s="3">
        <f t="shared" si="19"/>
        <v>46113</v>
      </c>
    </row>
    <row r="250" spans="1:16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  <c r="L250" s="3">
        <f t="shared" ca="1" si="15"/>
        <v>46288</v>
      </c>
      <c r="M250" s="12">
        <f t="shared" ca="1" si="16"/>
        <v>46288.803137615738</v>
      </c>
      <c r="N250">
        <f t="shared" si="17"/>
        <v>2</v>
      </c>
      <c r="O250">
        <f t="shared" ca="1" si="18"/>
        <v>125</v>
      </c>
      <c r="P250" s="3">
        <f t="shared" si="19"/>
        <v>46113</v>
      </c>
    </row>
    <row r="251" spans="1:16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  <c r="L251" s="3">
        <f t="shared" ca="1" si="15"/>
        <v>46288</v>
      </c>
      <c r="M251" s="12">
        <f t="shared" ca="1" si="16"/>
        <v>46288.803137615738</v>
      </c>
      <c r="N251">
        <f t="shared" si="17"/>
        <v>2</v>
      </c>
      <c r="O251">
        <f t="shared" ca="1" si="18"/>
        <v>237</v>
      </c>
      <c r="P251" s="3">
        <f t="shared" si="19"/>
        <v>46113</v>
      </c>
    </row>
    <row r="252" spans="1:16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  <c r="L252" s="3">
        <f t="shared" ca="1" si="15"/>
        <v>46288</v>
      </c>
      <c r="M252" s="12">
        <f t="shared" ca="1" si="16"/>
        <v>46288.803137615738</v>
      </c>
      <c r="N252">
        <f t="shared" si="17"/>
        <v>9</v>
      </c>
      <c r="O252">
        <f t="shared" ca="1" si="18"/>
        <v>176</v>
      </c>
      <c r="P252" s="3">
        <f t="shared" si="19"/>
        <v>46113</v>
      </c>
    </row>
    <row r="253" spans="1:16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  <c r="L253" s="3">
        <f t="shared" ca="1" si="15"/>
        <v>46288</v>
      </c>
      <c r="M253" s="12">
        <f t="shared" ca="1" si="16"/>
        <v>46288.803137615738</v>
      </c>
      <c r="N253">
        <f t="shared" si="17"/>
        <v>7</v>
      </c>
      <c r="O253">
        <f t="shared" ca="1" si="18"/>
        <v>122</v>
      </c>
      <c r="P253" s="3">
        <f t="shared" si="19"/>
        <v>46113</v>
      </c>
    </row>
    <row r="254" spans="1:16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  <c r="L254" s="3">
        <f t="shared" ca="1" si="15"/>
        <v>46288</v>
      </c>
      <c r="M254" s="12">
        <f t="shared" ca="1" si="16"/>
        <v>46288.803137615738</v>
      </c>
      <c r="N254">
        <f t="shared" si="17"/>
        <v>1</v>
      </c>
      <c r="O254">
        <f t="shared" ca="1" si="18"/>
        <v>214</v>
      </c>
      <c r="P254" s="3">
        <f t="shared" si="19"/>
        <v>46113</v>
      </c>
    </row>
    <row r="255" spans="1:16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  <c r="L255" s="3">
        <f t="shared" ca="1" si="15"/>
        <v>46288</v>
      </c>
      <c r="M255" s="12">
        <f t="shared" ca="1" si="16"/>
        <v>46288.803137615738</v>
      </c>
      <c r="N255">
        <f t="shared" si="17"/>
        <v>8</v>
      </c>
      <c r="O255">
        <f t="shared" ca="1" si="18"/>
        <v>147</v>
      </c>
      <c r="P255" s="3">
        <f t="shared" si="19"/>
        <v>46113</v>
      </c>
    </row>
    <row r="256" spans="1:16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  <c r="L256" s="3">
        <f t="shared" ca="1" si="15"/>
        <v>46288</v>
      </c>
      <c r="M256" s="12">
        <f t="shared" ca="1" si="16"/>
        <v>46288.803137615738</v>
      </c>
      <c r="N256">
        <f t="shared" si="17"/>
        <v>4</v>
      </c>
      <c r="O256">
        <f t="shared" ca="1" si="18"/>
        <v>197</v>
      </c>
      <c r="P256" s="3">
        <f t="shared" si="19"/>
        <v>46113</v>
      </c>
    </row>
    <row r="257" spans="1:16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  <c r="L257" s="3">
        <f t="shared" ca="1" si="15"/>
        <v>46288</v>
      </c>
      <c r="M257" s="12">
        <f t="shared" ca="1" si="16"/>
        <v>46288.803137615738</v>
      </c>
      <c r="N257">
        <f t="shared" si="17"/>
        <v>4</v>
      </c>
      <c r="O257">
        <f t="shared" ca="1" si="18"/>
        <v>231</v>
      </c>
      <c r="P257" s="3">
        <f t="shared" si="19"/>
        <v>46113</v>
      </c>
    </row>
    <row r="258" spans="1:16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  <c r="L258" s="3">
        <f t="shared" ca="1" si="15"/>
        <v>46288</v>
      </c>
      <c r="M258" s="12">
        <f t="shared" ca="1" si="16"/>
        <v>46288.803137615738</v>
      </c>
      <c r="N258">
        <f t="shared" si="17"/>
        <v>10</v>
      </c>
      <c r="O258">
        <f t="shared" ca="1" si="18"/>
        <v>127</v>
      </c>
      <c r="P258" s="3">
        <f t="shared" si="19"/>
        <v>46113</v>
      </c>
    </row>
    <row r="259" spans="1:16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  <c r="L259" s="3">
        <f t="shared" ref="L259:L322" ca="1" si="20">TODAY()</f>
        <v>46288</v>
      </c>
      <c r="M259" s="12">
        <f t="shared" ref="M259:M322" ca="1" si="21">NOW()</f>
        <v>46288.803137615738</v>
      </c>
      <c r="N259">
        <f t="shared" ref="N259:N322" si="22">DATEDIF(I259, J259, "D")</f>
        <v>1</v>
      </c>
      <c r="O259">
        <f t="shared" ref="O259:O322" ca="1" si="23">DATEDIF(I259, TODAY(), "d")</f>
        <v>151</v>
      </c>
      <c r="P259" s="3">
        <f t="shared" ref="P259:P322" si="24">DATE(2026, 4, 1)</f>
        <v>46113</v>
      </c>
    </row>
    <row r="260" spans="1:16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  <c r="L260" s="3">
        <f t="shared" ca="1" si="20"/>
        <v>46288</v>
      </c>
      <c r="M260" s="12">
        <f t="shared" ca="1" si="21"/>
        <v>46288.803137615738</v>
      </c>
      <c r="N260">
        <f t="shared" si="22"/>
        <v>10</v>
      </c>
      <c r="O260">
        <f t="shared" ca="1" si="23"/>
        <v>116</v>
      </c>
      <c r="P260" s="3">
        <f t="shared" si="24"/>
        <v>46113</v>
      </c>
    </row>
    <row r="261" spans="1:16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  <c r="L261" s="3">
        <f t="shared" ca="1" si="20"/>
        <v>46288</v>
      </c>
      <c r="M261" s="12">
        <f t="shared" ca="1" si="21"/>
        <v>46288.803137615738</v>
      </c>
      <c r="N261">
        <f t="shared" si="22"/>
        <v>5</v>
      </c>
      <c r="O261">
        <f t="shared" ca="1" si="23"/>
        <v>248</v>
      </c>
      <c r="P261" s="3">
        <f t="shared" si="24"/>
        <v>46113</v>
      </c>
    </row>
    <row r="262" spans="1:16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  <c r="L262" s="3">
        <f t="shared" ca="1" si="20"/>
        <v>46288</v>
      </c>
      <c r="M262" s="12">
        <f t="shared" ca="1" si="21"/>
        <v>46288.803137615738</v>
      </c>
      <c r="N262">
        <f t="shared" si="22"/>
        <v>1</v>
      </c>
      <c r="O262">
        <f t="shared" ca="1" si="23"/>
        <v>169</v>
      </c>
      <c r="P262" s="3">
        <f t="shared" si="24"/>
        <v>46113</v>
      </c>
    </row>
    <row r="263" spans="1:16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  <c r="L263" s="3">
        <f t="shared" ca="1" si="20"/>
        <v>46288</v>
      </c>
      <c r="M263" s="12">
        <f t="shared" ca="1" si="21"/>
        <v>46288.803137615738</v>
      </c>
      <c r="N263">
        <f t="shared" si="22"/>
        <v>9</v>
      </c>
      <c r="O263">
        <f t="shared" ca="1" si="23"/>
        <v>114</v>
      </c>
      <c r="P263" s="3">
        <f t="shared" si="24"/>
        <v>46113</v>
      </c>
    </row>
    <row r="264" spans="1:16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  <c r="L264" s="3">
        <f t="shared" ca="1" si="20"/>
        <v>46288</v>
      </c>
      <c r="M264" s="12">
        <f t="shared" ca="1" si="21"/>
        <v>46288.803137615738</v>
      </c>
      <c r="N264">
        <f t="shared" si="22"/>
        <v>8</v>
      </c>
      <c r="O264">
        <f t="shared" ca="1" si="23"/>
        <v>158</v>
      </c>
      <c r="P264" s="3">
        <f t="shared" si="24"/>
        <v>46113</v>
      </c>
    </row>
    <row r="265" spans="1:16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  <c r="L265" s="3">
        <f t="shared" ca="1" si="20"/>
        <v>46288</v>
      </c>
      <c r="M265" s="12">
        <f t="shared" ca="1" si="21"/>
        <v>46288.803137615738</v>
      </c>
      <c r="N265">
        <f t="shared" si="22"/>
        <v>6</v>
      </c>
      <c r="O265">
        <f t="shared" ca="1" si="23"/>
        <v>88</v>
      </c>
      <c r="P265" s="3">
        <f t="shared" si="24"/>
        <v>46113</v>
      </c>
    </row>
    <row r="266" spans="1:16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  <c r="L266" s="3">
        <f t="shared" ca="1" si="20"/>
        <v>46288</v>
      </c>
      <c r="M266" s="12">
        <f t="shared" ca="1" si="21"/>
        <v>46288.803137615738</v>
      </c>
      <c r="N266">
        <f t="shared" si="22"/>
        <v>10</v>
      </c>
      <c r="O266">
        <f t="shared" ca="1" si="23"/>
        <v>171</v>
      </c>
      <c r="P266" s="3">
        <f t="shared" si="24"/>
        <v>46113</v>
      </c>
    </row>
    <row r="267" spans="1:16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  <c r="L267" s="3">
        <f t="shared" ca="1" si="20"/>
        <v>46288</v>
      </c>
      <c r="M267" s="12">
        <f t="shared" ca="1" si="21"/>
        <v>46288.803137615738</v>
      </c>
      <c r="N267">
        <f t="shared" si="22"/>
        <v>8</v>
      </c>
      <c r="O267">
        <f t="shared" ca="1" si="23"/>
        <v>192</v>
      </c>
      <c r="P267" s="3">
        <f t="shared" si="24"/>
        <v>46113</v>
      </c>
    </row>
    <row r="268" spans="1:16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  <c r="L268" s="3">
        <f t="shared" ca="1" si="20"/>
        <v>46288</v>
      </c>
      <c r="M268" s="12">
        <f t="shared" ca="1" si="21"/>
        <v>46288.803137615738</v>
      </c>
      <c r="N268">
        <f t="shared" si="22"/>
        <v>9</v>
      </c>
      <c r="O268">
        <f t="shared" ca="1" si="23"/>
        <v>159</v>
      </c>
      <c r="P268" s="3">
        <f t="shared" si="24"/>
        <v>46113</v>
      </c>
    </row>
    <row r="269" spans="1:16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  <c r="L269" s="3">
        <f t="shared" ca="1" si="20"/>
        <v>46288</v>
      </c>
      <c r="M269" s="12">
        <f t="shared" ca="1" si="21"/>
        <v>46288.803137615738</v>
      </c>
      <c r="N269">
        <f t="shared" si="22"/>
        <v>3</v>
      </c>
      <c r="O269">
        <f t="shared" ca="1" si="23"/>
        <v>89</v>
      </c>
      <c r="P269" s="3">
        <f t="shared" si="24"/>
        <v>46113</v>
      </c>
    </row>
    <row r="270" spans="1:16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  <c r="L270" s="3">
        <f t="shared" ca="1" si="20"/>
        <v>46288</v>
      </c>
      <c r="M270" s="12">
        <f t="shared" ca="1" si="21"/>
        <v>46288.803137615738</v>
      </c>
      <c r="N270">
        <f t="shared" si="22"/>
        <v>2</v>
      </c>
      <c r="O270">
        <f t="shared" ca="1" si="23"/>
        <v>159</v>
      </c>
      <c r="P270" s="3">
        <f t="shared" si="24"/>
        <v>46113</v>
      </c>
    </row>
    <row r="271" spans="1:16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  <c r="L271" s="3">
        <f t="shared" ca="1" si="20"/>
        <v>46288</v>
      </c>
      <c r="M271" s="12">
        <f t="shared" ca="1" si="21"/>
        <v>46288.803137615738</v>
      </c>
      <c r="N271">
        <f t="shared" si="22"/>
        <v>6</v>
      </c>
      <c r="O271">
        <f t="shared" ca="1" si="23"/>
        <v>153</v>
      </c>
      <c r="P271" s="3">
        <f t="shared" si="24"/>
        <v>46113</v>
      </c>
    </row>
    <row r="272" spans="1:16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  <c r="L272" s="3">
        <f t="shared" ca="1" si="20"/>
        <v>46288</v>
      </c>
      <c r="M272" s="12">
        <f t="shared" ca="1" si="21"/>
        <v>46288.803137615738</v>
      </c>
      <c r="N272">
        <f t="shared" si="22"/>
        <v>2</v>
      </c>
      <c r="O272">
        <f t="shared" ca="1" si="23"/>
        <v>205</v>
      </c>
      <c r="P272" s="3">
        <f t="shared" si="24"/>
        <v>46113</v>
      </c>
    </row>
    <row r="273" spans="1:16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  <c r="L273" s="3">
        <f t="shared" ca="1" si="20"/>
        <v>46288</v>
      </c>
      <c r="M273" s="12">
        <f t="shared" ca="1" si="21"/>
        <v>46288.803137615738</v>
      </c>
      <c r="N273">
        <f t="shared" si="22"/>
        <v>6</v>
      </c>
      <c r="O273">
        <f t="shared" ca="1" si="23"/>
        <v>210</v>
      </c>
      <c r="P273" s="3">
        <f t="shared" si="24"/>
        <v>46113</v>
      </c>
    </row>
    <row r="274" spans="1:16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  <c r="L274" s="3">
        <f t="shared" ca="1" si="20"/>
        <v>46288</v>
      </c>
      <c r="M274" s="12">
        <f t="shared" ca="1" si="21"/>
        <v>46288.803137615738</v>
      </c>
      <c r="N274">
        <f t="shared" si="22"/>
        <v>2</v>
      </c>
      <c r="O274">
        <f t="shared" ca="1" si="23"/>
        <v>116</v>
      </c>
      <c r="P274" s="3">
        <f t="shared" si="24"/>
        <v>46113</v>
      </c>
    </row>
    <row r="275" spans="1:16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  <c r="L275" s="3">
        <f t="shared" ca="1" si="20"/>
        <v>46288</v>
      </c>
      <c r="M275" s="12">
        <f t="shared" ca="1" si="21"/>
        <v>46288.803137615738</v>
      </c>
      <c r="N275">
        <f t="shared" si="22"/>
        <v>7</v>
      </c>
      <c r="O275">
        <f t="shared" ca="1" si="23"/>
        <v>109</v>
      </c>
      <c r="P275" s="3">
        <f t="shared" si="24"/>
        <v>46113</v>
      </c>
    </row>
    <row r="276" spans="1:16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  <c r="L276" s="3">
        <f t="shared" ca="1" si="20"/>
        <v>46288</v>
      </c>
      <c r="M276" s="12">
        <f t="shared" ca="1" si="21"/>
        <v>46288.803137615738</v>
      </c>
      <c r="N276">
        <f t="shared" si="22"/>
        <v>2</v>
      </c>
      <c r="O276">
        <f t="shared" ca="1" si="23"/>
        <v>196</v>
      </c>
      <c r="P276" s="3">
        <f t="shared" si="24"/>
        <v>46113</v>
      </c>
    </row>
    <row r="277" spans="1:16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  <c r="L277" s="3">
        <f t="shared" ca="1" si="20"/>
        <v>46288</v>
      </c>
      <c r="M277" s="12">
        <f t="shared" ca="1" si="21"/>
        <v>46288.803137615738</v>
      </c>
      <c r="N277">
        <f t="shared" si="22"/>
        <v>2</v>
      </c>
      <c r="O277">
        <f t="shared" ca="1" si="23"/>
        <v>191</v>
      </c>
      <c r="P277" s="3">
        <f t="shared" si="24"/>
        <v>46113</v>
      </c>
    </row>
    <row r="278" spans="1:16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  <c r="L278" s="3">
        <f t="shared" ca="1" si="20"/>
        <v>46288</v>
      </c>
      <c r="M278" s="12">
        <f t="shared" ca="1" si="21"/>
        <v>46288.803137615738</v>
      </c>
      <c r="N278">
        <f t="shared" si="22"/>
        <v>3</v>
      </c>
      <c r="O278">
        <f t="shared" ca="1" si="23"/>
        <v>202</v>
      </c>
      <c r="P278" s="3">
        <f t="shared" si="24"/>
        <v>46113</v>
      </c>
    </row>
    <row r="279" spans="1:16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  <c r="L279" s="3">
        <f t="shared" ca="1" si="20"/>
        <v>46288</v>
      </c>
      <c r="M279" s="12">
        <f t="shared" ca="1" si="21"/>
        <v>46288.803137615738</v>
      </c>
      <c r="N279">
        <f t="shared" si="22"/>
        <v>6</v>
      </c>
      <c r="O279">
        <f t="shared" ca="1" si="23"/>
        <v>108</v>
      </c>
      <c r="P279" s="3">
        <f t="shared" si="24"/>
        <v>46113</v>
      </c>
    </row>
    <row r="280" spans="1:16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  <c r="L280" s="3">
        <f t="shared" ca="1" si="20"/>
        <v>46288</v>
      </c>
      <c r="M280" s="12">
        <f t="shared" ca="1" si="21"/>
        <v>46288.803137615738</v>
      </c>
      <c r="N280">
        <f t="shared" si="22"/>
        <v>2</v>
      </c>
      <c r="O280">
        <f t="shared" ca="1" si="23"/>
        <v>164</v>
      </c>
      <c r="P280" s="3">
        <f t="shared" si="24"/>
        <v>46113</v>
      </c>
    </row>
    <row r="281" spans="1:16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  <c r="L281" s="3">
        <f t="shared" ca="1" si="20"/>
        <v>46288</v>
      </c>
      <c r="M281" s="12">
        <f t="shared" ca="1" si="21"/>
        <v>46288.803137615738</v>
      </c>
      <c r="N281">
        <f t="shared" si="22"/>
        <v>10</v>
      </c>
      <c r="O281">
        <f t="shared" ca="1" si="23"/>
        <v>203</v>
      </c>
      <c r="P281" s="3">
        <f t="shared" si="24"/>
        <v>46113</v>
      </c>
    </row>
    <row r="282" spans="1:16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  <c r="L282" s="3">
        <f t="shared" ca="1" si="20"/>
        <v>46288</v>
      </c>
      <c r="M282" s="12">
        <f t="shared" ca="1" si="21"/>
        <v>46288.803137615738</v>
      </c>
      <c r="N282">
        <f t="shared" si="22"/>
        <v>8</v>
      </c>
      <c r="O282">
        <f t="shared" ca="1" si="23"/>
        <v>233</v>
      </c>
      <c r="P282" s="3">
        <f t="shared" si="24"/>
        <v>46113</v>
      </c>
    </row>
    <row r="283" spans="1:16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  <c r="L283" s="3">
        <f t="shared" ca="1" si="20"/>
        <v>46288</v>
      </c>
      <c r="M283" s="12">
        <f t="shared" ca="1" si="21"/>
        <v>46288.803137615738</v>
      </c>
      <c r="N283">
        <f t="shared" si="22"/>
        <v>1</v>
      </c>
      <c r="O283">
        <f t="shared" ca="1" si="23"/>
        <v>112</v>
      </c>
      <c r="P283" s="3">
        <f t="shared" si="24"/>
        <v>46113</v>
      </c>
    </row>
    <row r="284" spans="1:16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  <c r="L284" s="3">
        <f t="shared" ca="1" si="20"/>
        <v>46288</v>
      </c>
      <c r="M284" s="12">
        <f t="shared" ca="1" si="21"/>
        <v>46288.803137615738</v>
      </c>
      <c r="N284">
        <f t="shared" si="22"/>
        <v>6</v>
      </c>
      <c r="O284">
        <f t="shared" ca="1" si="23"/>
        <v>188</v>
      </c>
      <c r="P284" s="3">
        <f t="shared" si="24"/>
        <v>46113</v>
      </c>
    </row>
    <row r="285" spans="1:16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  <c r="L285" s="3">
        <f t="shared" ca="1" si="20"/>
        <v>46288</v>
      </c>
      <c r="M285" s="12">
        <f t="shared" ca="1" si="21"/>
        <v>46288.803137615738</v>
      </c>
      <c r="N285">
        <f t="shared" si="22"/>
        <v>8</v>
      </c>
      <c r="O285">
        <f t="shared" ca="1" si="23"/>
        <v>206</v>
      </c>
      <c r="P285" s="3">
        <f t="shared" si="24"/>
        <v>46113</v>
      </c>
    </row>
    <row r="286" spans="1:16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  <c r="L286" s="3">
        <f t="shared" ca="1" si="20"/>
        <v>46288</v>
      </c>
      <c r="M286" s="12">
        <f t="shared" ca="1" si="21"/>
        <v>46288.803137615738</v>
      </c>
      <c r="N286">
        <f t="shared" si="22"/>
        <v>3</v>
      </c>
      <c r="O286">
        <f t="shared" ca="1" si="23"/>
        <v>233</v>
      </c>
      <c r="P286" s="3">
        <f t="shared" si="24"/>
        <v>46113</v>
      </c>
    </row>
    <row r="287" spans="1:16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  <c r="L287" s="3">
        <f t="shared" ca="1" si="20"/>
        <v>46288</v>
      </c>
      <c r="M287" s="12">
        <f t="shared" ca="1" si="21"/>
        <v>46288.803137615738</v>
      </c>
      <c r="N287">
        <f t="shared" si="22"/>
        <v>5</v>
      </c>
      <c r="O287">
        <f t="shared" ca="1" si="23"/>
        <v>120</v>
      </c>
      <c r="P287" s="3">
        <f t="shared" si="24"/>
        <v>46113</v>
      </c>
    </row>
    <row r="288" spans="1:16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  <c r="L288" s="3">
        <f t="shared" ca="1" si="20"/>
        <v>46288</v>
      </c>
      <c r="M288" s="12">
        <f t="shared" ca="1" si="21"/>
        <v>46288.803137615738</v>
      </c>
      <c r="N288">
        <f t="shared" si="22"/>
        <v>6</v>
      </c>
      <c r="O288">
        <f t="shared" ca="1" si="23"/>
        <v>172</v>
      </c>
      <c r="P288" s="3">
        <f t="shared" si="24"/>
        <v>46113</v>
      </c>
    </row>
    <row r="289" spans="1:16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  <c r="L289" s="3">
        <f t="shared" ca="1" si="20"/>
        <v>46288</v>
      </c>
      <c r="M289" s="12">
        <f t="shared" ca="1" si="21"/>
        <v>46288.803137615738</v>
      </c>
      <c r="N289">
        <f t="shared" si="22"/>
        <v>8</v>
      </c>
      <c r="O289">
        <f t="shared" ca="1" si="23"/>
        <v>109</v>
      </c>
      <c r="P289" s="3">
        <f t="shared" si="24"/>
        <v>46113</v>
      </c>
    </row>
    <row r="290" spans="1:16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  <c r="L290" s="3">
        <f t="shared" ca="1" si="20"/>
        <v>46288</v>
      </c>
      <c r="M290" s="12">
        <f t="shared" ca="1" si="21"/>
        <v>46288.803137615738</v>
      </c>
      <c r="N290">
        <f t="shared" si="22"/>
        <v>8</v>
      </c>
      <c r="O290">
        <f t="shared" ca="1" si="23"/>
        <v>166</v>
      </c>
      <c r="P290" s="3">
        <f t="shared" si="24"/>
        <v>46113</v>
      </c>
    </row>
    <row r="291" spans="1:16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  <c r="L291" s="3">
        <f t="shared" ca="1" si="20"/>
        <v>46288</v>
      </c>
      <c r="M291" s="12">
        <f t="shared" ca="1" si="21"/>
        <v>46288.803137615738</v>
      </c>
      <c r="N291">
        <f t="shared" si="22"/>
        <v>1</v>
      </c>
      <c r="O291">
        <f t="shared" ca="1" si="23"/>
        <v>178</v>
      </c>
      <c r="P291" s="3">
        <f t="shared" si="24"/>
        <v>46113</v>
      </c>
    </row>
    <row r="292" spans="1:16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  <c r="L292" s="3">
        <f t="shared" ca="1" si="20"/>
        <v>46288</v>
      </c>
      <c r="M292" s="12">
        <f t="shared" ca="1" si="21"/>
        <v>46288.803137615738</v>
      </c>
      <c r="N292">
        <f t="shared" si="22"/>
        <v>4</v>
      </c>
      <c r="O292">
        <f t="shared" ca="1" si="23"/>
        <v>151</v>
      </c>
      <c r="P292" s="3">
        <f t="shared" si="24"/>
        <v>46113</v>
      </c>
    </row>
    <row r="293" spans="1:16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  <c r="L293" s="3">
        <f t="shared" ca="1" si="20"/>
        <v>46288</v>
      </c>
      <c r="M293" s="12">
        <f t="shared" ca="1" si="21"/>
        <v>46288.803137615738</v>
      </c>
      <c r="N293">
        <f t="shared" si="22"/>
        <v>7</v>
      </c>
      <c r="O293">
        <f t="shared" ca="1" si="23"/>
        <v>102</v>
      </c>
      <c r="P293" s="3">
        <f t="shared" si="24"/>
        <v>46113</v>
      </c>
    </row>
    <row r="294" spans="1:16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  <c r="L294" s="3">
        <f t="shared" ca="1" si="20"/>
        <v>46288</v>
      </c>
      <c r="M294" s="12">
        <f t="shared" ca="1" si="21"/>
        <v>46288.803137615738</v>
      </c>
      <c r="N294">
        <f t="shared" si="22"/>
        <v>5</v>
      </c>
      <c r="O294">
        <f t="shared" ca="1" si="23"/>
        <v>243</v>
      </c>
      <c r="P294" s="3">
        <f t="shared" si="24"/>
        <v>46113</v>
      </c>
    </row>
    <row r="295" spans="1:16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  <c r="L295" s="3">
        <f t="shared" ca="1" si="20"/>
        <v>46288</v>
      </c>
      <c r="M295" s="12">
        <f t="shared" ca="1" si="21"/>
        <v>46288.803137615738</v>
      </c>
      <c r="N295">
        <f t="shared" si="22"/>
        <v>8</v>
      </c>
      <c r="O295">
        <f t="shared" ca="1" si="23"/>
        <v>107</v>
      </c>
      <c r="P295" s="3">
        <f t="shared" si="24"/>
        <v>46113</v>
      </c>
    </row>
    <row r="296" spans="1:16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  <c r="L296" s="3">
        <f t="shared" ca="1" si="20"/>
        <v>46288</v>
      </c>
      <c r="M296" s="12">
        <f t="shared" ca="1" si="21"/>
        <v>46288.803137615738</v>
      </c>
      <c r="N296">
        <f t="shared" si="22"/>
        <v>5</v>
      </c>
      <c r="O296">
        <f t="shared" ca="1" si="23"/>
        <v>131</v>
      </c>
      <c r="P296" s="3">
        <f t="shared" si="24"/>
        <v>46113</v>
      </c>
    </row>
    <row r="297" spans="1:16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  <c r="L297" s="3">
        <f t="shared" ca="1" si="20"/>
        <v>46288</v>
      </c>
      <c r="M297" s="12">
        <f t="shared" ca="1" si="21"/>
        <v>46288.803137615738</v>
      </c>
      <c r="N297">
        <f t="shared" si="22"/>
        <v>9</v>
      </c>
      <c r="O297">
        <f t="shared" ca="1" si="23"/>
        <v>225</v>
      </c>
      <c r="P297" s="3">
        <f t="shared" si="24"/>
        <v>46113</v>
      </c>
    </row>
    <row r="298" spans="1:16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  <c r="L298" s="3">
        <f t="shared" ca="1" si="20"/>
        <v>46288</v>
      </c>
      <c r="M298" s="12">
        <f t="shared" ca="1" si="21"/>
        <v>46288.803137615738</v>
      </c>
      <c r="N298">
        <f t="shared" si="22"/>
        <v>9</v>
      </c>
      <c r="O298">
        <f t="shared" ca="1" si="23"/>
        <v>110</v>
      </c>
      <c r="P298" s="3">
        <f t="shared" si="24"/>
        <v>46113</v>
      </c>
    </row>
    <row r="299" spans="1:16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  <c r="L299" s="3">
        <f t="shared" ca="1" si="20"/>
        <v>46288</v>
      </c>
      <c r="M299" s="12">
        <f t="shared" ca="1" si="21"/>
        <v>46288.803137615738</v>
      </c>
      <c r="N299">
        <f t="shared" si="22"/>
        <v>10</v>
      </c>
      <c r="O299">
        <f t="shared" ca="1" si="23"/>
        <v>205</v>
      </c>
      <c r="P299" s="3">
        <f t="shared" si="24"/>
        <v>46113</v>
      </c>
    </row>
    <row r="300" spans="1:16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  <c r="L300" s="3">
        <f t="shared" ca="1" si="20"/>
        <v>46288</v>
      </c>
      <c r="M300" s="12">
        <f t="shared" ca="1" si="21"/>
        <v>46288.803137615738</v>
      </c>
      <c r="N300">
        <f t="shared" si="22"/>
        <v>9</v>
      </c>
      <c r="O300">
        <f t="shared" ca="1" si="23"/>
        <v>165</v>
      </c>
      <c r="P300" s="3">
        <f t="shared" si="24"/>
        <v>46113</v>
      </c>
    </row>
    <row r="301" spans="1:16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  <c r="L301" s="3">
        <f t="shared" ca="1" si="20"/>
        <v>46288</v>
      </c>
      <c r="M301" s="12">
        <f t="shared" ca="1" si="21"/>
        <v>46288.803137615738</v>
      </c>
      <c r="N301">
        <f t="shared" si="22"/>
        <v>7</v>
      </c>
      <c r="O301">
        <f t="shared" ca="1" si="23"/>
        <v>178</v>
      </c>
      <c r="P301" s="3">
        <f t="shared" si="24"/>
        <v>46113</v>
      </c>
    </row>
    <row r="302" spans="1:16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  <c r="L302" s="3">
        <f t="shared" ca="1" si="20"/>
        <v>46288</v>
      </c>
      <c r="M302" s="12">
        <f t="shared" ca="1" si="21"/>
        <v>46288.803137615738</v>
      </c>
      <c r="N302">
        <f t="shared" si="22"/>
        <v>10</v>
      </c>
      <c r="O302">
        <f t="shared" ca="1" si="23"/>
        <v>260</v>
      </c>
      <c r="P302" s="3">
        <f t="shared" si="24"/>
        <v>46113</v>
      </c>
    </row>
    <row r="303" spans="1:16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  <c r="L303" s="3">
        <f t="shared" ca="1" si="20"/>
        <v>46288</v>
      </c>
      <c r="M303" s="12">
        <f t="shared" ca="1" si="21"/>
        <v>46288.803137615738</v>
      </c>
      <c r="N303">
        <f t="shared" si="22"/>
        <v>9</v>
      </c>
      <c r="O303">
        <f t="shared" ca="1" si="23"/>
        <v>125</v>
      </c>
      <c r="P303" s="3">
        <f t="shared" si="24"/>
        <v>46113</v>
      </c>
    </row>
    <row r="304" spans="1:16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  <c r="L304" s="3">
        <f t="shared" ca="1" si="20"/>
        <v>46288</v>
      </c>
      <c r="M304" s="12">
        <f t="shared" ca="1" si="21"/>
        <v>46288.803137615738</v>
      </c>
      <c r="N304">
        <f t="shared" si="22"/>
        <v>3</v>
      </c>
      <c r="O304">
        <f t="shared" ca="1" si="23"/>
        <v>164</v>
      </c>
      <c r="P304" s="3">
        <f t="shared" si="24"/>
        <v>46113</v>
      </c>
    </row>
    <row r="305" spans="1:16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  <c r="L305" s="3">
        <f t="shared" ca="1" si="20"/>
        <v>46288</v>
      </c>
      <c r="M305" s="12">
        <f t="shared" ca="1" si="21"/>
        <v>46288.803137615738</v>
      </c>
      <c r="N305">
        <f t="shared" si="22"/>
        <v>9</v>
      </c>
      <c r="O305">
        <f t="shared" ca="1" si="23"/>
        <v>246</v>
      </c>
      <c r="P305" s="3">
        <f t="shared" si="24"/>
        <v>46113</v>
      </c>
    </row>
    <row r="306" spans="1:16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  <c r="L306" s="3">
        <f t="shared" ca="1" si="20"/>
        <v>46288</v>
      </c>
      <c r="M306" s="12">
        <f t="shared" ca="1" si="21"/>
        <v>46288.803137615738</v>
      </c>
      <c r="N306">
        <f t="shared" si="22"/>
        <v>8</v>
      </c>
      <c r="O306">
        <f t="shared" ca="1" si="23"/>
        <v>142</v>
      </c>
      <c r="P306" s="3">
        <f t="shared" si="24"/>
        <v>46113</v>
      </c>
    </row>
    <row r="307" spans="1:16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  <c r="L307" s="3">
        <f t="shared" ca="1" si="20"/>
        <v>46288</v>
      </c>
      <c r="M307" s="12">
        <f t="shared" ca="1" si="21"/>
        <v>46288.803137615738</v>
      </c>
      <c r="N307">
        <f t="shared" si="22"/>
        <v>3</v>
      </c>
      <c r="O307">
        <f t="shared" ca="1" si="23"/>
        <v>97</v>
      </c>
      <c r="P307" s="3">
        <f t="shared" si="24"/>
        <v>46113</v>
      </c>
    </row>
    <row r="308" spans="1:16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  <c r="L308" s="3">
        <f t="shared" ca="1" si="20"/>
        <v>46288</v>
      </c>
      <c r="M308" s="12">
        <f t="shared" ca="1" si="21"/>
        <v>46288.803137615738</v>
      </c>
      <c r="N308">
        <f t="shared" si="22"/>
        <v>3</v>
      </c>
      <c r="O308">
        <f t="shared" ca="1" si="23"/>
        <v>240</v>
      </c>
      <c r="P308" s="3">
        <f t="shared" si="24"/>
        <v>46113</v>
      </c>
    </row>
    <row r="309" spans="1:16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  <c r="L309" s="3">
        <f t="shared" ca="1" si="20"/>
        <v>46288</v>
      </c>
      <c r="M309" s="12">
        <f t="shared" ca="1" si="21"/>
        <v>46288.803137615738</v>
      </c>
      <c r="N309">
        <f t="shared" si="22"/>
        <v>6</v>
      </c>
      <c r="O309">
        <f t="shared" ca="1" si="23"/>
        <v>159</v>
      </c>
      <c r="P309" s="3">
        <f t="shared" si="24"/>
        <v>46113</v>
      </c>
    </row>
    <row r="310" spans="1:16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  <c r="L310" s="3">
        <f t="shared" ca="1" si="20"/>
        <v>46288</v>
      </c>
      <c r="M310" s="12">
        <f t="shared" ca="1" si="21"/>
        <v>46288.803137615738</v>
      </c>
      <c r="N310">
        <f t="shared" si="22"/>
        <v>1</v>
      </c>
      <c r="O310">
        <f t="shared" ca="1" si="23"/>
        <v>91</v>
      </c>
      <c r="P310" s="3">
        <f t="shared" si="24"/>
        <v>46113</v>
      </c>
    </row>
    <row r="311" spans="1:16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  <c r="L311" s="3">
        <f t="shared" ca="1" si="20"/>
        <v>46288</v>
      </c>
      <c r="M311" s="12">
        <f t="shared" ca="1" si="21"/>
        <v>46288.803137615738</v>
      </c>
      <c r="N311">
        <f t="shared" si="22"/>
        <v>8</v>
      </c>
      <c r="O311">
        <f t="shared" ca="1" si="23"/>
        <v>107</v>
      </c>
      <c r="P311" s="3">
        <f t="shared" si="24"/>
        <v>46113</v>
      </c>
    </row>
    <row r="312" spans="1:16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  <c r="L312" s="3">
        <f t="shared" ca="1" si="20"/>
        <v>46288</v>
      </c>
      <c r="M312" s="12">
        <f t="shared" ca="1" si="21"/>
        <v>46288.803137615738</v>
      </c>
      <c r="N312">
        <f t="shared" si="22"/>
        <v>3</v>
      </c>
      <c r="O312">
        <f t="shared" ca="1" si="23"/>
        <v>115</v>
      </c>
      <c r="P312" s="3">
        <f t="shared" si="24"/>
        <v>46113</v>
      </c>
    </row>
    <row r="313" spans="1:16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  <c r="L313" s="3">
        <f t="shared" ca="1" si="20"/>
        <v>46288</v>
      </c>
      <c r="M313" s="12">
        <f t="shared" ca="1" si="21"/>
        <v>46288.803137615738</v>
      </c>
      <c r="N313">
        <f t="shared" si="22"/>
        <v>8</v>
      </c>
      <c r="O313">
        <f t="shared" ca="1" si="23"/>
        <v>140</v>
      </c>
      <c r="P313" s="3">
        <f t="shared" si="24"/>
        <v>46113</v>
      </c>
    </row>
    <row r="314" spans="1:16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  <c r="L314" s="3">
        <f t="shared" ca="1" si="20"/>
        <v>46288</v>
      </c>
      <c r="M314" s="12">
        <f t="shared" ca="1" si="21"/>
        <v>46288.803137615738</v>
      </c>
      <c r="N314">
        <f t="shared" si="22"/>
        <v>8</v>
      </c>
      <c r="O314">
        <f t="shared" ca="1" si="23"/>
        <v>247</v>
      </c>
      <c r="P314" s="3">
        <f t="shared" si="24"/>
        <v>46113</v>
      </c>
    </row>
    <row r="315" spans="1:16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  <c r="L315" s="3">
        <f t="shared" ca="1" si="20"/>
        <v>46288</v>
      </c>
      <c r="M315" s="12">
        <f t="shared" ca="1" si="21"/>
        <v>46288.803137615738</v>
      </c>
      <c r="N315">
        <f t="shared" si="22"/>
        <v>1</v>
      </c>
      <c r="O315">
        <f t="shared" ca="1" si="23"/>
        <v>92</v>
      </c>
      <c r="P315" s="3">
        <f t="shared" si="24"/>
        <v>46113</v>
      </c>
    </row>
    <row r="316" spans="1:16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  <c r="L316" s="3">
        <f t="shared" ca="1" si="20"/>
        <v>46288</v>
      </c>
      <c r="M316" s="12">
        <f t="shared" ca="1" si="21"/>
        <v>46288.803137615738</v>
      </c>
      <c r="N316">
        <f t="shared" si="22"/>
        <v>10</v>
      </c>
      <c r="O316">
        <f t="shared" ca="1" si="23"/>
        <v>102</v>
      </c>
      <c r="P316" s="3">
        <f t="shared" si="24"/>
        <v>46113</v>
      </c>
    </row>
    <row r="317" spans="1:16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  <c r="L317" s="3">
        <f t="shared" ca="1" si="20"/>
        <v>46288</v>
      </c>
      <c r="M317" s="12">
        <f t="shared" ca="1" si="21"/>
        <v>46288.803137615738</v>
      </c>
      <c r="N317">
        <f t="shared" si="22"/>
        <v>7</v>
      </c>
      <c r="O317">
        <f t="shared" ca="1" si="23"/>
        <v>210</v>
      </c>
      <c r="P317" s="3">
        <f t="shared" si="24"/>
        <v>46113</v>
      </c>
    </row>
    <row r="318" spans="1:16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  <c r="L318" s="3">
        <f t="shared" ca="1" si="20"/>
        <v>46288</v>
      </c>
      <c r="M318" s="12">
        <f t="shared" ca="1" si="21"/>
        <v>46288.803137615738</v>
      </c>
      <c r="N318">
        <f t="shared" si="22"/>
        <v>10</v>
      </c>
      <c r="O318">
        <f t="shared" ca="1" si="23"/>
        <v>129</v>
      </c>
      <c r="P318" s="3">
        <f t="shared" si="24"/>
        <v>46113</v>
      </c>
    </row>
    <row r="319" spans="1:16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  <c r="L319" s="3">
        <f t="shared" ca="1" si="20"/>
        <v>46288</v>
      </c>
      <c r="M319" s="12">
        <f t="shared" ca="1" si="21"/>
        <v>46288.803137615738</v>
      </c>
      <c r="N319">
        <f t="shared" si="22"/>
        <v>6</v>
      </c>
      <c r="O319">
        <f t="shared" ca="1" si="23"/>
        <v>119</v>
      </c>
      <c r="P319" s="3">
        <f t="shared" si="24"/>
        <v>46113</v>
      </c>
    </row>
    <row r="320" spans="1:16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  <c r="L320" s="3">
        <f t="shared" ca="1" si="20"/>
        <v>46288</v>
      </c>
      <c r="M320" s="12">
        <f t="shared" ca="1" si="21"/>
        <v>46288.803137615738</v>
      </c>
      <c r="N320">
        <f t="shared" si="22"/>
        <v>8</v>
      </c>
      <c r="O320">
        <f t="shared" ca="1" si="23"/>
        <v>194</v>
      </c>
      <c r="P320" s="3">
        <f t="shared" si="24"/>
        <v>46113</v>
      </c>
    </row>
    <row r="321" spans="1:16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  <c r="L321" s="3">
        <f t="shared" ca="1" si="20"/>
        <v>46288</v>
      </c>
      <c r="M321" s="12">
        <f t="shared" ca="1" si="21"/>
        <v>46288.803137615738</v>
      </c>
      <c r="N321">
        <f t="shared" si="22"/>
        <v>3</v>
      </c>
      <c r="O321">
        <f t="shared" ca="1" si="23"/>
        <v>105</v>
      </c>
      <c r="P321" s="3">
        <f t="shared" si="24"/>
        <v>46113</v>
      </c>
    </row>
    <row r="322" spans="1:16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  <c r="L322" s="3">
        <f t="shared" ca="1" si="20"/>
        <v>46288</v>
      </c>
      <c r="M322" s="12">
        <f t="shared" ca="1" si="21"/>
        <v>46288.803137615738</v>
      </c>
      <c r="N322">
        <f t="shared" si="22"/>
        <v>2</v>
      </c>
      <c r="O322">
        <f t="shared" ca="1" si="23"/>
        <v>181</v>
      </c>
      <c r="P322" s="3">
        <f t="shared" si="24"/>
        <v>46113</v>
      </c>
    </row>
    <row r="323" spans="1:16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  <c r="L323" s="3">
        <f t="shared" ref="L323:L386" ca="1" si="25">TODAY()</f>
        <v>46288</v>
      </c>
      <c r="M323" s="12">
        <f t="shared" ref="M323:M386" ca="1" si="26">NOW()</f>
        <v>46288.803137615738</v>
      </c>
      <c r="N323">
        <f t="shared" ref="N323:N386" si="27">DATEDIF(I323, J323, "D")</f>
        <v>5</v>
      </c>
      <c r="O323">
        <f t="shared" ref="O323:O386" ca="1" si="28">DATEDIF(I323, TODAY(), "d")</f>
        <v>147</v>
      </c>
      <c r="P323" s="3">
        <f t="shared" ref="P323:P386" si="29">DATE(2026, 4, 1)</f>
        <v>46113</v>
      </c>
    </row>
    <row r="324" spans="1:16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  <c r="L324" s="3">
        <f t="shared" ca="1" si="25"/>
        <v>46288</v>
      </c>
      <c r="M324" s="12">
        <f t="shared" ca="1" si="26"/>
        <v>46288.803137615738</v>
      </c>
      <c r="N324">
        <f t="shared" si="27"/>
        <v>5</v>
      </c>
      <c r="O324">
        <f t="shared" ca="1" si="28"/>
        <v>215</v>
      </c>
      <c r="P324" s="3">
        <f t="shared" si="29"/>
        <v>46113</v>
      </c>
    </row>
    <row r="325" spans="1:16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  <c r="L325" s="3">
        <f t="shared" ca="1" si="25"/>
        <v>46288</v>
      </c>
      <c r="M325" s="12">
        <f t="shared" ca="1" si="26"/>
        <v>46288.803137615738</v>
      </c>
      <c r="N325">
        <f t="shared" si="27"/>
        <v>3</v>
      </c>
      <c r="O325">
        <f t="shared" ca="1" si="28"/>
        <v>235</v>
      </c>
      <c r="P325" s="3">
        <f t="shared" si="29"/>
        <v>46113</v>
      </c>
    </row>
    <row r="326" spans="1:16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  <c r="L326" s="3">
        <f t="shared" ca="1" si="25"/>
        <v>46288</v>
      </c>
      <c r="M326" s="12">
        <f t="shared" ca="1" si="26"/>
        <v>46288.803137615738</v>
      </c>
      <c r="N326">
        <f t="shared" si="27"/>
        <v>9</v>
      </c>
      <c r="O326">
        <f t="shared" ca="1" si="28"/>
        <v>212</v>
      </c>
      <c r="P326" s="3">
        <f t="shared" si="29"/>
        <v>46113</v>
      </c>
    </row>
    <row r="327" spans="1:16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  <c r="L327" s="3">
        <f t="shared" ca="1" si="25"/>
        <v>46288</v>
      </c>
      <c r="M327" s="12">
        <f t="shared" ca="1" si="26"/>
        <v>46288.803137615738</v>
      </c>
      <c r="N327">
        <f t="shared" si="27"/>
        <v>7</v>
      </c>
      <c r="O327">
        <f t="shared" ca="1" si="28"/>
        <v>123</v>
      </c>
      <c r="P327" s="3">
        <f t="shared" si="29"/>
        <v>46113</v>
      </c>
    </row>
    <row r="328" spans="1:16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  <c r="L328" s="3">
        <f t="shared" ca="1" si="25"/>
        <v>46288</v>
      </c>
      <c r="M328" s="12">
        <f t="shared" ca="1" si="26"/>
        <v>46288.803137615738</v>
      </c>
      <c r="N328">
        <f t="shared" si="27"/>
        <v>1</v>
      </c>
      <c r="O328">
        <f t="shared" ca="1" si="28"/>
        <v>136</v>
      </c>
      <c r="P328" s="3">
        <f t="shared" si="29"/>
        <v>46113</v>
      </c>
    </row>
    <row r="329" spans="1:16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  <c r="L329" s="3">
        <f t="shared" ca="1" si="25"/>
        <v>46288</v>
      </c>
      <c r="M329" s="12">
        <f t="shared" ca="1" si="26"/>
        <v>46288.803137615738</v>
      </c>
      <c r="N329">
        <f t="shared" si="27"/>
        <v>5</v>
      </c>
      <c r="O329">
        <f t="shared" ca="1" si="28"/>
        <v>179</v>
      </c>
      <c r="P329" s="3">
        <f t="shared" si="29"/>
        <v>46113</v>
      </c>
    </row>
    <row r="330" spans="1:16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  <c r="L330" s="3">
        <f t="shared" ca="1" si="25"/>
        <v>46288</v>
      </c>
      <c r="M330" s="12">
        <f t="shared" ca="1" si="26"/>
        <v>46288.803137615738</v>
      </c>
      <c r="N330">
        <f t="shared" si="27"/>
        <v>10</v>
      </c>
      <c r="O330">
        <f t="shared" ca="1" si="28"/>
        <v>162</v>
      </c>
      <c r="P330" s="3">
        <f t="shared" si="29"/>
        <v>46113</v>
      </c>
    </row>
    <row r="331" spans="1:16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  <c r="L331" s="3">
        <f t="shared" ca="1" si="25"/>
        <v>46288</v>
      </c>
      <c r="M331" s="12">
        <f t="shared" ca="1" si="26"/>
        <v>46288.803137615738</v>
      </c>
      <c r="N331">
        <f t="shared" si="27"/>
        <v>4</v>
      </c>
      <c r="O331">
        <f t="shared" ca="1" si="28"/>
        <v>256</v>
      </c>
      <c r="P331" s="3">
        <f t="shared" si="29"/>
        <v>46113</v>
      </c>
    </row>
    <row r="332" spans="1:16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  <c r="L332" s="3">
        <f t="shared" ca="1" si="25"/>
        <v>46288</v>
      </c>
      <c r="M332" s="12">
        <f t="shared" ca="1" si="26"/>
        <v>46288.803137615738</v>
      </c>
      <c r="N332">
        <f t="shared" si="27"/>
        <v>10</v>
      </c>
      <c r="O332">
        <f t="shared" ca="1" si="28"/>
        <v>98</v>
      </c>
      <c r="P332" s="3">
        <f t="shared" si="29"/>
        <v>46113</v>
      </c>
    </row>
    <row r="333" spans="1:16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  <c r="L333" s="3">
        <f t="shared" ca="1" si="25"/>
        <v>46288</v>
      </c>
      <c r="M333" s="12">
        <f t="shared" ca="1" si="26"/>
        <v>46288.803137615738</v>
      </c>
      <c r="N333">
        <f t="shared" si="27"/>
        <v>3</v>
      </c>
      <c r="O333">
        <f t="shared" ca="1" si="28"/>
        <v>134</v>
      </c>
      <c r="P333" s="3">
        <f t="shared" si="29"/>
        <v>46113</v>
      </c>
    </row>
    <row r="334" spans="1:16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  <c r="L334" s="3">
        <f t="shared" ca="1" si="25"/>
        <v>46288</v>
      </c>
      <c r="M334" s="12">
        <f t="shared" ca="1" si="26"/>
        <v>46288.803137615738</v>
      </c>
      <c r="N334">
        <f t="shared" si="27"/>
        <v>1</v>
      </c>
      <c r="O334">
        <f t="shared" ca="1" si="28"/>
        <v>143</v>
      </c>
      <c r="P334" s="3">
        <f t="shared" si="29"/>
        <v>46113</v>
      </c>
    </row>
    <row r="335" spans="1:16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  <c r="L335" s="3">
        <f t="shared" ca="1" si="25"/>
        <v>46288</v>
      </c>
      <c r="M335" s="12">
        <f t="shared" ca="1" si="26"/>
        <v>46288.803137615738</v>
      </c>
      <c r="N335">
        <f t="shared" si="27"/>
        <v>9</v>
      </c>
      <c r="O335">
        <f t="shared" ca="1" si="28"/>
        <v>250</v>
      </c>
      <c r="P335" s="3">
        <f t="shared" si="29"/>
        <v>46113</v>
      </c>
    </row>
    <row r="336" spans="1:16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  <c r="L336" s="3">
        <f t="shared" ca="1" si="25"/>
        <v>46288</v>
      </c>
      <c r="M336" s="12">
        <f t="shared" ca="1" si="26"/>
        <v>46288.803137615738</v>
      </c>
      <c r="N336">
        <f t="shared" si="27"/>
        <v>5</v>
      </c>
      <c r="O336">
        <f t="shared" ca="1" si="28"/>
        <v>120</v>
      </c>
      <c r="P336" s="3">
        <f t="shared" si="29"/>
        <v>46113</v>
      </c>
    </row>
    <row r="337" spans="1:16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  <c r="L337" s="3">
        <f t="shared" ca="1" si="25"/>
        <v>46288</v>
      </c>
      <c r="M337" s="12">
        <f t="shared" ca="1" si="26"/>
        <v>46288.803137615738</v>
      </c>
      <c r="N337">
        <f t="shared" si="27"/>
        <v>6</v>
      </c>
      <c r="O337">
        <f t="shared" ca="1" si="28"/>
        <v>202</v>
      </c>
      <c r="P337" s="3">
        <f t="shared" si="29"/>
        <v>46113</v>
      </c>
    </row>
    <row r="338" spans="1:16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  <c r="L338" s="3">
        <f t="shared" ca="1" si="25"/>
        <v>46288</v>
      </c>
      <c r="M338" s="12">
        <f t="shared" ca="1" si="26"/>
        <v>46288.803137615738</v>
      </c>
      <c r="N338">
        <f t="shared" si="27"/>
        <v>6</v>
      </c>
      <c r="O338">
        <f t="shared" ca="1" si="28"/>
        <v>214</v>
      </c>
      <c r="P338" s="3">
        <f t="shared" si="29"/>
        <v>46113</v>
      </c>
    </row>
    <row r="339" spans="1:16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  <c r="L339" s="3">
        <f t="shared" ca="1" si="25"/>
        <v>46288</v>
      </c>
      <c r="M339" s="12">
        <f t="shared" ca="1" si="26"/>
        <v>46288.803137615738</v>
      </c>
      <c r="N339">
        <f t="shared" si="27"/>
        <v>2</v>
      </c>
      <c r="O339">
        <f t="shared" ca="1" si="28"/>
        <v>111</v>
      </c>
      <c r="P339" s="3">
        <f t="shared" si="29"/>
        <v>46113</v>
      </c>
    </row>
    <row r="340" spans="1:16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  <c r="L340" s="3">
        <f t="shared" ca="1" si="25"/>
        <v>46288</v>
      </c>
      <c r="M340" s="12">
        <f t="shared" ca="1" si="26"/>
        <v>46288.803137615738</v>
      </c>
      <c r="N340">
        <f t="shared" si="27"/>
        <v>6</v>
      </c>
      <c r="O340">
        <f t="shared" ca="1" si="28"/>
        <v>146</v>
      </c>
      <c r="P340" s="3">
        <f t="shared" si="29"/>
        <v>46113</v>
      </c>
    </row>
    <row r="341" spans="1:16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  <c r="L341" s="3">
        <f t="shared" ca="1" si="25"/>
        <v>46288</v>
      </c>
      <c r="M341" s="12">
        <f t="shared" ca="1" si="26"/>
        <v>46288.803137615738</v>
      </c>
      <c r="N341">
        <f t="shared" si="27"/>
        <v>2</v>
      </c>
      <c r="O341">
        <f t="shared" ca="1" si="28"/>
        <v>92</v>
      </c>
      <c r="P341" s="3">
        <f t="shared" si="29"/>
        <v>46113</v>
      </c>
    </row>
    <row r="342" spans="1:16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  <c r="L342" s="3">
        <f t="shared" ca="1" si="25"/>
        <v>46288</v>
      </c>
      <c r="M342" s="12">
        <f t="shared" ca="1" si="26"/>
        <v>46288.803137615738</v>
      </c>
      <c r="N342">
        <f t="shared" si="27"/>
        <v>4</v>
      </c>
      <c r="O342">
        <f t="shared" ca="1" si="28"/>
        <v>262</v>
      </c>
      <c r="P342" s="3">
        <f t="shared" si="29"/>
        <v>46113</v>
      </c>
    </row>
    <row r="343" spans="1:16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  <c r="L343" s="3">
        <f t="shared" ca="1" si="25"/>
        <v>46288</v>
      </c>
      <c r="M343" s="12">
        <f t="shared" ca="1" si="26"/>
        <v>46288.803137615738</v>
      </c>
      <c r="N343">
        <f t="shared" si="27"/>
        <v>7</v>
      </c>
      <c r="O343">
        <f t="shared" ca="1" si="28"/>
        <v>156</v>
      </c>
      <c r="P343" s="3">
        <f t="shared" si="29"/>
        <v>46113</v>
      </c>
    </row>
    <row r="344" spans="1:16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  <c r="L344" s="3">
        <f t="shared" ca="1" si="25"/>
        <v>46288</v>
      </c>
      <c r="M344" s="12">
        <f t="shared" ca="1" si="26"/>
        <v>46288.803137615738</v>
      </c>
      <c r="N344">
        <f t="shared" si="27"/>
        <v>5</v>
      </c>
      <c r="O344">
        <f t="shared" ca="1" si="28"/>
        <v>114</v>
      </c>
      <c r="P344" s="3">
        <f t="shared" si="29"/>
        <v>46113</v>
      </c>
    </row>
    <row r="345" spans="1:16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  <c r="L345" s="3">
        <f t="shared" ca="1" si="25"/>
        <v>46288</v>
      </c>
      <c r="M345" s="12">
        <f t="shared" ca="1" si="26"/>
        <v>46288.803137615738</v>
      </c>
      <c r="N345">
        <f t="shared" si="27"/>
        <v>1</v>
      </c>
      <c r="O345">
        <f t="shared" ca="1" si="28"/>
        <v>133</v>
      </c>
      <c r="P345" s="3">
        <f t="shared" si="29"/>
        <v>46113</v>
      </c>
    </row>
    <row r="346" spans="1:16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  <c r="L346" s="3">
        <f t="shared" ca="1" si="25"/>
        <v>46288</v>
      </c>
      <c r="M346" s="12">
        <f t="shared" ca="1" si="26"/>
        <v>46288.803137615738</v>
      </c>
      <c r="N346">
        <f t="shared" si="27"/>
        <v>2</v>
      </c>
      <c r="O346">
        <f t="shared" ca="1" si="28"/>
        <v>193</v>
      </c>
      <c r="P346" s="3">
        <f t="shared" si="29"/>
        <v>46113</v>
      </c>
    </row>
    <row r="347" spans="1:16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  <c r="L347" s="3">
        <f t="shared" ca="1" si="25"/>
        <v>46288</v>
      </c>
      <c r="M347" s="12">
        <f t="shared" ca="1" si="26"/>
        <v>46288.803137615738</v>
      </c>
      <c r="N347">
        <f t="shared" si="27"/>
        <v>2</v>
      </c>
      <c r="O347">
        <f t="shared" ca="1" si="28"/>
        <v>148</v>
      </c>
      <c r="P347" s="3">
        <f t="shared" si="29"/>
        <v>46113</v>
      </c>
    </row>
    <row r="348" spans="1:16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  <c r="L348" s="3">
        <f t="shared" ca="1" si="25"/>
        <v>46288</v>
      </c>
      <c r="M348" s="12">
        <f t="shared" ca="1" si="26"/>
        <v>46288.803137615738</v>
      </c>
      <c r="N348">
        <f t="shared" si="27"/>
        <v>7</v>
      </c>
      <c r="O348">
        <f t="shared" ca="1" si="28"/>
        <v>251</v>
      </c>
      <c r="P348" s="3">
        <f t="shared" si="29"/>
        <v>46113</v>
      </c>
    </row>
    <row r="349" spans="1:16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  <c r="L349" s="3">
        <f t="shared" ca="1" si="25"/>
        <v>46288</v>
      </c>
      <c r="M349" s="12">
        <f t="shared" ca="1" si="26"/>
        <v>46288.803137615738</v>
      </c>
      <c r="N349">
        <f t="shared" si="27"/>
        <v>5</v>
      </c>
      <c r="O349">
        <f t="shared" ca="1" si="28"/>
        <v>240</v>
      </c>
      <c r="P349" s="3">
        <f t="shared" si="29"/>
        <v>46113</v>
      </c>
    </row>
    <row r="350" spans="1:16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  <c r="L350" s="3">
        <f t="shared" ca="1" si="25"/>
        <v>46288</v>
      </c>
      <c r="M350" s="12">
        <f t="shared" ca="1" si="26"/>
        <v>46288.803137615738</v>
      </c>
      <c r="N350">
        <f t="shared" si="27"/>
        <v>4</v>
      </c>
      <c r="O350">
        <f t="shared" ca="1" si="28"/>
        <v>209</v>
      </c>
      <c r="P350" s="3">
        <f t="shared" si="29"/>
        <v>46113</v>
      </c>
    </row>
    <row r="351" spans="1:16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  <c r="L351" s="3">
        <f t="shared" ca="1" si="25"/>
        <v>46288</v>
      </c>
      <c r="M351" s="12">
        <f t="shared" ca="1" si="26"/>
        <v>46288.803137615738</v>
      </c>
      <c r="N351">
        <f t="shared" si="27"/>
        <v>5</v>
      </c>
      <c r="O351">
        <f t="shared" ca="1" si="28"/>
        <v>103</v>
      </c>
      <c r="P351" s="3">
        <f t="shared" si="29"/>
        <v>46113</v>
      </c>
    </row>
    <row r="352" spans="1:16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  <c r="L352" s="3">
        <f t="shared" ca="1" si="25"/>
        <v>46288</v>
      </c>
      <c r="M352" s="12">
        <f t="shared" ca="1" si="26"/>
        <v>46288.803137615738</v>
      </c>
      <c r="N352">
        <f t="shared" si="27"/>
        <v>3</v>
      </c>
      <c r="O352">
        <f t="shared" ca="1" si="28"/>
        <v>262</v>
      </c>
      <c r="P352" s="3">
        <f t="shared" si="29"/>
        <v>46113</v>
      </c>
    </row>
    <row r="353" spans="1:16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  <c r="L353" s="3">
        <f t="shared" ca="1" si="25"/>
        <v>46288</v>
      </c>
      <c r="M353" s="12">
        <f t="shared" ca="1" si="26"/>
        <v>46288.803137615738</v>
      </c>
      <c r="N353">
        <f t="shared" si="27"/>
        <v>9</v>
      </c>
      <c r="O353">
        <f t="shared" ca="1" si="28"/>
        <v>264</v>
      </c>
      <c r="P353" s="3">
        <f t="shared" si="29"/>
        <v>46113</v>
      </c>
    </row>
    <row r="354" spans="1:16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  <c r="L354" s="3">
        <f t="shared" ca="1" si="25"/>
        <v>46288</v>
      </c>
      <c r="M354" s="12">
        <f t="shared" ca="1" si="26"/>
        <v>46288.803137615738</v>
      </c>
      <c r="N354">
        <f t="shared" si="27"/>
        <v>6</v>
      </c>
      <c r="O354">
        <f t="shared" ca="1" si="28"/>
        <v>94</v>
      </c>
      <c r="P354" s="3">
        <f t="shared" si="29"/>
        <v>46113</v>
      </c>
    </row>
    <row r="355" spans="1:16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  <c r="L355" s="3">
        <f t="shared" ca="1" si="25"/>
        <v>46288</v>
      </c>
      <c r="M355" s="12">
        <f t="shared" ca="1" si="26"/>
        <v>46288.803137615738</v>
      </c>
      <c r="N355">
        <f t="shared" si="27"/>
        <v>2</v>
      </c>
      <c r="O355">
        <f t="shared" ca="1" si="28"/>
        <v>170</v>
      </c>
      <c r="P355" s="3">
        <f t="shared" si="29"/>
        <v>46113</v>
      </c>
    </row>
    <row r="356" spans="1:16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  <c r="L356" s="3">
        <f t="shared" ca="1" si="25"/>
        <v>46288</v>
      </c>
      <c r="M356" s="12">
        <f t="shared" ca="1" si="26"/>
        <v>46288.803137615738</v>
      </c>
      <c r="N356">
        <f t="shared" si="27"/>
        <v>7</v>
      </c>
      <c r="O356">
        <f t="shared" ca="1" si="28"/>
        <v>264</v>
      </c>
      <c r="P356" s="3">
        <f t="shared" si="29"/>
        <v>46113</v>
      </c>
    </row>
    <row r="357" spans="1:16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  <c r="L357" s="3">
        <f t="shared" ca="1" si="25"/>
        <v>46288</v>
      </c>
      <c r="M357" s="12">
        <f t="shared" ca="1" si="26"/>
        <v>46288.803137615738</v>
      </c>
      <c r="N357">
        <f t="shared" si="27"/>
        <v>3</v>
      </c>
      <c r="O357">
        <f t="shared" ca="1" si="28"/>
        <v>87</v>
      </c>
      <c r="P357" s="3">
        <f t="shared" si="29"/>
        <v>46113</v>
      </c>
    </row>
    <row r="358" spans="1:16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  <c r="L358" s="3">
        <f t="shared" ca="1" si="25"/>
        <v>46288</v>
      </c>
      <c r="M358" s="12">
        <f t="shared" ca="1" si="26"/>
        <v>46288.803137615738</v>
      </c>
      <c r="N358">
        <f t="shared" si="27"/>
        <v>7</v>
      </c>
      <c r="O358">
        <f t="shared" ca="1" si="28"/>
        <v>155</v>
      </c>
      <c r="P358" s="3">
        <f t="shared" si="29"/>
        <v>46113</v>
      </c>
    </row>
    <row r="359" spans="1:16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  <c r="L359" s="3">
        <f t="shared" ca="1" si="25"/>
        <v>46288</v>
      </c>
      <c r="M359" s="12">
        <f t="shared" ca="1" si="26"/>
        <v>46288.803137615738</v>
      </c>
      <c r="N359">
        <f t="shared" si="27"/>
        <v>2</v>
      </c>
      <c r="O359">
        <f t="shared" ca="1" si="28"/>
        <v>161</v>
      </c>
      <c r="P359" s="3">
        <f t="shared" si="29"/>
        <v>46113</v>
      </c>
    </row>
    <row r="360" spans="1:16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  <c r="L360" s="3">
        <f t="shared" ca="1" si="25"/>
        <v>46288</v>
      </c>
      <c r="M360" s="12">
        <f t="shared" ca="1" si="26"/>
        <v>46288.803137615738</v>
      </c>
      <c r="N360">
        <f t="shared" si="27"/>
        <v>3</v>
      </c>
      <c r="O360">
        <f t="shared" ca="1" si="28"/>
        <v>192</v>
      </c>
      <c r="P360" s="3">
        <f t="shared" si="29"/>
        <v>46113</v>
      </c>
    </row>
    <row r="361" spans="1:16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  <c r="L361" s="3">
        <f t="shared" ca="1" si="25"/>
        <v>46288</v>
      </c>
      <c r="M361" s="12">
        <f t="shared" ca="1" si="26"/>
        <v>46288.803137615738</v>
      </c>
      <c r="N361">
        <f t="shared" si="27"/>
        <v>4</v>
      </c>
      <c r="O361">
        <f t="shared" ca="1" si="28"/>
        <v>142</v>
      </c>
      <c r="P361" s="3">
        <f t="shared" si="29"/>
        <v>46113</v>
      </c>
    </row>
    <row r="362" spans="1:16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  <c r="L362" s="3">
        <f t="shared" ca="1" si="25"/>
        <v>46288</v>
      </c>
      <c r="M362" s="12">
        <f t="shared" ca="1" si="26"/>
        <v>46288.803137615738</v>
      </c>
      <c r="N362">
        <f t="shared" si="27"/>
        <v>4</v>
      </c>
      <c r="O362">
        <f t="shared" ca="1" si="28"/>
        <v>147</v>
      </c>
      <c r="P362" s="3">
        <f t="shared" si="29"/>
        <v>46113</v>
      </c>
    </row>
    <row r="363" spans="1:16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  <c r="L363" s="3">
        <f t="shared" ca="1" si="25"/>
        <v>46288</v>
      </c>
      <c r="M363" s="12">
        <f t="shared" ca="1" si="26"/>
        <v>46288.803137615738</v>
      </c>
      <c r="N363">
        <f t="shared" si="27"/>
        <v>2</v>
      </c>
      <c r="O363">
        <f t="shared" ca="1" si="28"/>
        <v>194</v>
      </c>
      <c r="P363" s="3">
        <f t="shared" si="29"/>
        <v>46113</v>
      </c>
    </row>
    <row r="364" spans="1:16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  <c r="L364" s="3">
        <f t="shared" ca="1" si="25"/>
        <v>46288</v>
      </c>
      <c r="M364" s="12">
        <f t="shared" ca="1" si="26"/>
        <v>46288.803137615738</v>
      </c>
      <c r="N364">
        <f t="shared" si="27"/>
        <v>6</v>
      </c>
      <c r="O364">
        <f t="shared" ca="1" si="28"/>
        <v>166</v>
      </c>
      <c r="P364" s="3">
        <f t="shared" si="29"/>
        <v>46113</v>
      </c>
    </row>
    <row r="365" spans="1:16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  <c r="L365" s="3">
        <f t="shared" ca="1" si="25"/>
        <v>46288</v>
      </c>
      <c r="M365" s="12">
        <f t="shared" ca="1" si="26"/>
        <v>46288.803137615738</v>
      </c>
      <c r="N365">
        <f t="shared" si="27"/>
        <v>2</v>
      </c>
      <c r="O365">
        <f t="shared" ca="1" si="28"/>
        <v>257</v>
      </c>
      <c r="P365" s="3">
        <f t="shared" si="29"/>
        <v>46113</v>
      </c>
    </row>
    <row r="366" spans="1:16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  <c r="L366" s="3">
        <f t="shared" ca="1" si="25"/>
        <v>46288</v>
      </c>
      <c r="M366" s="12">
        <f t="shared" ca="1" si="26"/>
        <v>46288.803137615738</v>
      </c>
      <c r="N366">
        <f t="shared" si="27"/>
        <v>2</v>
      </c>
      <c r="O366">
        <f t="shared" ca="1" si="28"/>
        <v>218</v>
      </c>
      <c r="P366" s="3">
        <f t="shared" si="29"/>
        <v>46113</v>
      </c>
    </row>
    <row r="367" spans="1:16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  <c r="L367" s="3">
        <f t="shared" ca="1" si="25"/>
        <v>46288</v>
      </c>
      <c r="M367" s="12">
        <f t="shared" ca="1" si="26"/>
        <v>46288.803137615738</v>
      </c>
      <c r="N367">
        <f t="shared" si="27"/>
        <v>7</v>
      </c>
      <c r="O367">
        <f t="shared" ca="1" si="28"/>
        <v>241</v>
      </c>
      <c r="P367" s="3">
        <f t="shared" si="29"/>
        <v>46113</v>
      </c>
    </row>
    <row r="368" spans="1:16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  <c r="L368" s="3">
        <f t="shared" ca="1" si="25"/>
        <v>46288</v>
      </c>
      <c r="M368" s="12">
        <f t="shared" ca="1" si="26"/>
        <v>46288.803137615738</v>
      </c>
      <c r="N368">
        <f t="shared" si="27"/>
        <v>10</v>
      </c>
      <c r="O368">
        <f t="shared" ca="1" si="28"/>
        <v>130</v>
      </c>
      <c r="P368" s="3">
        <f t="shared" si="29"/>
        <v>46113</v>
      </c>
    </row>
    <row r="369" spans="1:16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  <c r="L369" s="3">
        <f t="shared" ca="1" si="25"/>
        <v>46288</v>
      </c>
      <c r="M369" s="12">
        <f t="shared" ca="1" si="26"/>
        <v>46288.803137615738</v>
      </c>
      <c r="N369">
        <f t="shared" si="27"/>
        <v>9</v>
      </c>
      <c r="O369">
        <f t="shared" ca="1" si="28"/>
        <v>252</v>
      </c>
      <c r="P369" s="3">
        <f t="shared" si="29"/>
        <v>46113</v>
      </c>
    </row>
    <row r="370" spans="1:16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  <c r="L370" s="3">
        <f t="shared" ca="1" si="25"/>
        <v>46288</v>
      </c>
      <c r="M370" s="12">
        <f t="shared" ca="1" si="26"/>
        <v>46288.803137615738</v>
      </c>
      <c r="N370">
        <f t="shared" si="27"/>
        <v>5</v>
      </c>
      <c r="O370">
        <f t="shared" ca="1" si="28"/>
        <v>226</v>
      </c>
      <c r="P370" s="3">
        <f t="shared" si="29"/>
        <v>46113</v>
      </c>
    </row>
    <row r="371" spans="1:16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  <c r="L371" s="3">
        <f t="shared" ca="1" si="25"/>
        <v>46288</v>
      </c>
      <c r="M371" s="12">
        <f t="shared" ca="1" si="26"/>
        <v>46288.803137615738</v>
      </c>
      <c r="N371">
        <f t="shared" si="27"/>
        <v>4</v>
      </c>
      <c r="O371">
        <f t="shared" ca="1" si="28"/>
        <v>104</v>
      </c>
      <c r="P371" s="3">
        <f t="shared" si="29"/>
        <v>46113</v>
      </c>
    </row>
    <row r="372" spans="1:16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  <c r="L372" s="3">
        <f t="shared" ca="1" si="25"/>
        <v>46288</v>
      </c>
      <c r="M372" s="12">
        <f t="shared" ca="1" si="26"/>
        <v>46288.803137615738</v>
      </c>
      <c r="N372">
        <f t="shared" si="27"/>
        <v>10</v>
      </c>
      <c r="O372">
        <f t="shared" ca="1" si="28"/>
        <v>216</v>
      </c>
      <c r="P372" s="3">
        <f t="shared" si="29"/>
        <v>46113</v>
      </c>
    </row>
    <row r="373" spans="1:16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  <c r="L373" s="3">
        <f t="shared" ca="1" si="25"/>
        <v>46288</v>
      </c>
      <c r="M373" s="12">
        <f t="shared" ca="1" si="26"/>
        <v>46288.803137615738</v>
      </c>
      <c r="N373">
        <f t="shared" si="27"/>
        <v>7</v>
      </c>
      <c r="O373">
        <f t="shared" ca="1" si="28"/>
        <v>127</v>
      </c>
      <c r="P373" s="3">
        <f t="shared" si="29"/>
        <v>46113</v>
      </c>
    </row>
    <row r="374" spans="1:16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  <c r="L374" s="3">
        <f t="shared" ca="1" si="25"/>
        <v>46288</v>
      </c>
      <c r="M374" s="12">
        <f t="shared" ca="1" si="26"/>
        <v>46288.803137615738</v>
      </c>
      <c r="N374">
        <f t="shared" si="27"/>
        <v>10</v>
      </c>
      <c r="O374">
        <f t="shared" ca="1" si="28"/>
        <v>97</v>
      </c>
      <c r="P374" s="3">
        <f t="shared" si="29"/>
        <v>46113</v>
      </c>
    </row>
    <row r="375" spans="1:16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  <c r="L375" s="3">
        <f t="shared" ca="1" si="25"/>
        <v>46288</v>
      </c>
      <c r="M375" s="12">
        <f t="shared" ca="1" si="26"/>
        <v>46288.803137615738</v>
      </c>
      <c r="N375">
        <f t="shared" si="27"/>
        <v>3</v>
      </c>
      <c r="O375">
        <f t="shared" ca="1" si="28"/>
        <v>225</v>
      </c>
      <c r="P375" s="3">
        <f t="shared" si="29"/>
        <v>46113</v>
      </c>
    </row>
    <row r="376" spans="1:16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  <c r="L376" s="3">
        <f t="shared" ca="1" si="25"/>
        <v>46288</v>
      </c>
      <c r="M376" s="12">
        <f t="shared" ca="1" si="26"/>
        <v>46288.803137615738</v>
      </c>
      <c r="N376">
        <f t="shared" si="27"/>
        <v>9</v>
      </c>
      <c r="O376">
        <f t="shared" ca="1" si="28"/>
        <v>236</v>
      </c>
      <c r="P376" s="3">
        <f t="shared" si="29"/>
        <v>46113</v>
      </c>
    </row>
    <row r="377" spans="1:16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  <c r="L377" s="3">
        <f t="shared" ca="1" si="25"/>
        <v>46288</v>
      </c>
      <c r="M377" s="12">
        <f t="shared" ca="1" si="26"/>
        <v>46288.803137615738</v>
      </c>
      <c r="N377">
        <f t="shared" si="27"/>
        <v>6</v>
      </c>
      <c r="O377">
        <f t="shared" ca="1" si="28"/>
        <v>110</v>
      </c>
      <c r="P377" s="3">
        <f t="shared" si="29"/>
        <v>46113</v>
      </c>
    </row>
    <row r="378" spans="1:16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  <c r="L378" s="3">
        <f t="shared" ca="1" si="25"/>
        <v>46288</v>
      </c>
      <c r="M378" s="12">
        <f t="shared" ca="1" si="26"/>
        <v>46288.803137615738</v>
      </c>
      <c r="N378">
        <f t="shared" si="27"/>
        <v>6</v>
      </c>
      <c r="O378">
        <f t="shared" ca="1" si="28"/>
        <v>183</v>
      </c>
      <c r="P378" s="3">
        <f t="shared" si="29"/>
        <v>46113</v>
      </c>
    </row>
    <row r="379" spans="1:16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  <c r="L379" s="3">
        <f t="shared" ca="1" si="25"/>
        <v>46288</v>
      </c>
      <c r="M379" s="12">
        <f t="shared" ca="1" si="26"/>
        <v>46288.803137615738</v>
      </c>
      <c r="N379">
        <f t="shared" si="27"/>
        <v>6</v>
      </c>
      <c r="O379">
        <f t="shared" ca="1" si="28"/>
        <v>214</v>
      </c>
      <c r="P379" s="3">
        <f t="shared" si="29"/>
        <v>46113</v>
      </c>
    </row>
    <row r="380" spans="1:16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  <c r="L380" s="3">
        <f t="shared" ca="1" si="25"/>
        <v>46288</v>
      </c>
      <c r="M380" s="12">
        <f t="shared" ca="1" si="26"/>
        <v>46288.803137615738</v>
      </c>
      <c r="N380">
        <f t="shared" si="27"/>
        <v>1</v>
      </c>
      <c r="O380">
        <f t="shared" ca="1" si="28"/>
        <v>182</v>
      </c>
      <c r="P380" s="3">
        <f t="shared" si="29"/>
        <v>46113</v>
      </c>
    </row>
    <row r="381" spans="1:16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  <c r="L381" s="3">
        <f t="shared" ca="1" si="25"/>
        <v>46288</v>
      </c>
      <c r="M381" s="12">
        <f t="shared" ca="1" si="26"/>
        <v>46288.803137615738</v>
      </c>
      <c r="N381">
        <f t="shared" si="27"/>
        <v>10</v>
      </c>
      <c r="O381">
        <f t="shared" ca="1" si="28"/>
        <v>160</v>
      </c>
      <c r="P381" s="3">
        <f t="shared" si="29"/>
        <v>46113</v>
      </c>
    </row>
    <row r="382" spans="1:16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  <c r="L382" s="3">
        <f t="shared" ca="1" si="25"/>
        <v>46288</v>
      </c>
      <c r="M382" s="12">
        <f t="shared" ca="1" si="26"/>
        <v>46288.803137615738</v>
      </c>
      <c r="N382">
        <f t="shared" si="27"/>
        <v>4</v>
      </c>
      <c r="O382">
        <f t="shared" ca="1" si="28"/>
        <v>199</v>
      </c>
      <c r="P382" s="3">
        <f t="shared" si="29"/>
        <v>46113</v>
      </c>
    </row>
    <row r="383" spans="1:16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  <c r="L383" s="3">
        <f t="shared" ca="1" si="25"/>
        <v>46288</v>
      </c>
      <c r="M383" s="12">
        <f t="shared" ca="1" si="26"/>
        <v>46288.803137615738</v>
      </c>
      <c r="N383">
        <f t="shared" si="27"/>
        <v>4</v>
      </c>
      <c r="O383">
        <f t="shared" ca="1" si="28"/>
        <v>158</v>
      </c>
      <c r="P383" s="3">
        <f t="shared" si="29"/>
        <v>46113</v>
      </c>
    </row>
    <row r="384" spans="1:16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  <c r="L384" s="3">
        <f t="shared" ca="1" si="25"/>
        <v>46288</v>
      </c>
      <c r="M384" s="12">
        <f t="shared" ca="1" si="26"/>
        <v>46288.803137615738</v>
      </c>
      <c r="N384">
        <f t="shared" si="27"/>
        <v>7</v>
      </c>
      <c r="O384">
        <f t="shared" ca="1" si="28"/>
        <v>92</v>
      </c>
      <c r="P384" s="3">
        <f t="shared" si="29"/>
        <v>46113</v>
      </c>
    </row>
    <row r="385" spans="1:16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  <c r="L385" s="3">
        <f t="shared" ca="1" si="25"/>
        <v>46288</v>
      </c>
      <c r="M385" s="12">
        <f t="shared" ca="1" si="26"/>
        <v>46288.803137615738</v>
      </c>
      <c r="N385">
        <f t="shared" si="27"/>
        <v>4</v>
      </c>
      <c r="O385">
        <f t="shared" ca="1" si="28"/>
        <v>214</v>
      </c>
      <c r="P385" s="3">
        <f t="shared" si="29"/>
        <v>46113</v>
      </c>
    </row>
    <row r="386" spans="1:16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  <c r="L386" s="3">
        <f t="shared" ca="1" si="25"/>
        <v>46288</v>
      </c>
      <c r="M386" s="12">
        <f t="shared" ca="1" si="26"/>
        <v>46288.803137615738</v>
      </c>
      <c r="N386">
        <f t="shared" si="27"/>
        <v>5</v>
      </c>
      <c r="O386">
        <f t="shared" ca="1" si="28"/>
        <v>240</v>
      </c>
      <c r="P386" s="3">
        <f t="shared" si="29"/>
        <v>46113</v>
      </c>
    </row>
    <row r="387" spans="1:16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  <c r="L387" s="3">
        <f t="shared" ref="L387:L401" ca="1" si="30">TODAY()</f>
        <v>46288</v>
      </c>
      <c r="M387" s="12">
        <f t="shared" ref="M387:M401" ca="1" si="31">NOW()</f>
        <v>46288.803137615738</v>
      </c>
      <c r="N387">
        <f t="shared" ref="N387:N401" si="32">DATEDIF(I387, J387, "D")</f>
        <v>9</v>
      </c>
      <c r="O387">
        <f t="shared" ref="O387:O401" ca="1" si="33">DATEDIF(I387, TODAY(), "d")</f>
        <v>126</v>
      </c>
      <c r="P387" s="3">
        <f t="shared" ref="P387:P401" si="34">DATE(2026, 4, 1)</f>
        <v>46113</v>
      </c>
    </row>
    <row r="388" spans="1:16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  <c r="L388" s="3">
        <f t="shared" ca="1" si="30"/>
        <v>46288</v>
      </c>
      <c r="M388" s="12">
        <f t="shared" ca="1" si="31"/>
        <v>46288.803137615738</v>
      </c>
      <c r="N388">
        <f t="shared" si="32"/>
        <v>10</v>
      </c>
      <c r="O388">
        <f t="shared" ca="1" si="33"/>
        <v>186</v>
      </c>
      <c r="P388" s="3">
        <f t="shared" si="34"/>
        <v>46113</v>
      </c>
    </row>
    <row r="389" spans="1:16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  <c r="L389" s="3">
        <f t="shared" ca="1" si="30"/>
        <v>46288</v>
      </c>
      <c r="M389" s="12">
        <f t="shared" ca="1" si="31"/>
        <v>46288.803137615738</v>
      </c>
      <c r="N389">
        <f t="shared" si="32"/>
        <v>2</v>
      </c>
      <c r="O389">
        <f t="shared" ca="1" si="33"/>
        <v>194</v>
      </c>
      <c r="P389" s="3">
        <f t="shared" si="34"/>
        <v>46113</v>
      </c>
    </row>
    <row r="390" spans="1:16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  <c r="L390" s="3">
        <f t="shared" ca="1" si="30"/>
        <v>46288</v>
      </c>
      <c r="M390" s="12">
        <f t="shared" ca="1" si="31"/>
        <v>46288.803137615738</v>
      </c>
      <c r="N390">
        <f t="shared" si="32"/>
        <v>4</v>
      </c>
      <c r="O390">
        <f t="shared" ca="1" si="33"/>
        <v>244</v>
      </c>
      <c r="P390" s="3">
        <f t="shared" si="34"/>
        <v>46113</v>
      </c>
    </row>
    <row r="391" spans="1:16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  <c r="L391" s="3">
        <f t="shared" ca="1" si="30"/>
        <v>46288</v>
      </c>
      <c r="M391" s="12">
        <f t="shared" ca="1" si="31"/>
        <v>46288.803137615738</v>
      </c>
      <c r="N391">
        <f t="shared" si="32"/>
        <v>5</v>
      </c>
      <c r="O391">
        <f t="shared" ca="1" si="33"/>
        <v>212</v>
      </c>
      <c r="P391" s="3">
        <f t="shared" si="34"/>
        <v>46113</v>
      </c>
    </row>
    <row r="392" spans="1:16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  <c r="L392" s="3">
        <f t="shared" ca="1" si="30"/>
        <v>46288</v>
      </c>
      <c r="M392" s="12">
        <f t="shared" ca="1" si="31"/>
        <v>46288.803137615738</v>
      </c>
      <c r="N392">
        <f t="shared" si="32"/>
        <v>3</v>
      </c>
      <c r="O392">
        <f t="shared" ca="1" si="33"/>
        <v>188</v>
      </c>
      <c r="P392" s="3">
        <f t="shared" si="34"/>
        <v>46113</v>
      </c>
    </row>
    <row r="393" spans="1:16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  <c r="L393" s="3">
        <f t="shared" ca="1" si="30"/>
        <v>46288</v>
      </c>
      <c r="M393" s="12">
        <f t="shared" ca="1" si="31"/>
        <v>46288.803137615738</v>
      </c>
      <c r="N393">
        <f t="shared" si="32"/>
        <v>1</v>
      </c>
      <c r="O393">
        <f t="shared" ca="1" si="33"/>
        <v>164</v>
      </c>
      <c r="P393" s="3">
        <f t="shared" si="34"/>
        <v>46113</v>
      </c>
    </row>
    <row r="394" spans="1:16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  <c r="L394" s="3">
        <f t="shared" ca="1" si="30"/>
        <v>46288</v>
      </c>
      <c r="M394" s="12">
        <f t="shared" ca="1" si="31"/>
        <v>46288.803137615738</v>
      </c>
      <c r="N394">
        <f t="shared" si="32"/>
        <v>4</v>
      </c>
      <c r="O394">
        <f t="shared" ca="1" si="33"/>
        <v>241</v>
      </c>
      <c r="P394" s="3">
        <f t="shared" si="34"/>
        <v>46113</v>
      </c>
    </row>
    <row r="395" spans="1:16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  <c r="L395" s="3">
        <f t="shared" ca="1" si="30"/>
        <v>46288</v>
      </c>
      <c r="M395" s="12">
        <f t="shared" ca="1" si="31"/>
        <v>46288.803137615738</v>
      </c>
      <c r="N395">
        <f t="shared" si="32"/>
        <v>1</v>
      </c>
      <c r="O395">
        <f t="shared" ca="1" si="33"/>
        <v>232</v>
      </c>
      <c r="P395" s="3">
        <f t="shared" si="34"/>
        <v>46113</v>
      </c>
    </row>
    <row r="396" spans="1:16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  <c r="L396" s="3">
        <f t="shared" ca="1" si="30"/>
        <v>46288</v>
      </c>
      <c r="M396" s="12">
        <f t="shared" ca="1" si="31"/>
        <v>46288.803137615738</v>
      </c>
      <c r="N396">
        <f t="shared" si="32"/>
        <v>5</v>
      </c>
      <c r="O396">
        <f t="shared" ca="1" si="33"/>
        <v>226</v>
      </c>
      <c r="P396" s="3">
        <f t="shared" si="34"/>
        <v>46113</v>
      </c>
    </row>
    <row r="397" spans="1:16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  <c r="L397" s="3">
        <f t="shared" ca="1" si="30"/>
        <v>46288</v>
      </c>
      <c r="M397" s="12">
        <f t="shared" ca="1" si="31"/>
        <v>46288.803137615738</v>
      </c>
      <c r="N397">
        <f t="shared" si="32"/>
        <v>4</v>
      </c>
      <c r="O397">
        <f t="shared" ca="1" si="33"/>
        <v>257</v>
      </c>
      <c r="P397" s="3">
        <f t="shared" si="34"/>
        <v>46113</v>
      </c>
    </row>
    <row r="398" spans="1:16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  <c r="L398" s="3">
        <f t="shared" ca="1" si="30"/>
        <v>46288</v>
      </c>
      <c r="M398" s="12">
        <f t="shared" ca="1" si="31"/>
        <v>46288.803137615738</v>
      </c>
      <c r="N398">
        <f t="shared" si="32"/>
        <v>7</v>
      </c>
      <c r="O398">
        <f t="shared" ca="1" si="33"/>
        <v>94</v>
      </c>
      <c r="P398" s="3">
        <f t="shared" si="34"/>
        <v>46113</v>
      </c>
    </row>
    <row r="399" spans="1:16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  <c r="L399" s="3">
        <f t="shared" ca="1" si="30"/>
        <v>46288</v>
      </c>
      <c r="M399" s="12">
        <f t="shared" ca="1" si="31"/>
        <v>46288.803137615738</v>
      </c>
      <c r="N399">
        <f t="shared" si="32"/>
        <v>6</v>
      </c>
      <c r="O399">
        <f t="shared" ca="1" si="33"/>
        <v>118</v>
      </c>
      <c r="P399" s="3">
        <f t="shared" si="34"/>
        <v>46113</v>
      </c>
    </row>
    <row r="400" spans="1:16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  <c r="L400" s="3">
        <f t="shared" ca="1" si="30"/>
        <v>46288</v>
      </c>
      <c r="M400" s="12">
        <f t="shared" ca="1" si="31"/>
        <v>46288.803137615738</v>
      </c>
      <c r="N400">
        <f t="shared" si="32"/>
        <v>4</v>
      </c>
      <c r="O400">
        <f t="shared" ca="1" si="33"/>
        <v>199</v>
      </c>
      <c r="P400" s="3">
        <f t="shared" si="34"/>
        <v>46113</v>
      </c>
    </row>
    <row r="401" spans="1:16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  <c r="L401" s="3">
        <f t="shared" ca="1" si="30"/>
        <v>46288</v>
      </c>
      <c r="M401" s="12">
        <f t="shared" ca="1" si="31"/>
        <v>46288.803137615738</v>
      </c>
      <c r="N401">
        <f t="shared" si="32"/>
        <v>2</v>
      </c>
      <c r="O401">
        <f t="shared" ca="1" si="33"/>
        <v>198</v>
      </c>
      <c r="P401" s="3">
        <f t="shared" si="34"/>
        <v>46113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145A-BDF7-4766-8BEA-6B0F45681490}">
  <dimension ref="A1:L401"/>
  <sheetViews>
    <sheetView topLeftCell="A381" workbookViewId="0">
      <selection activeCell="M1" sqref="M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2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</row>
    <row r="2" spans="1:12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3">
        <v>46081</v>
      </c>
      <c r="J2" s="3">
        <v>46083</v>
      </c>
      <c r="K2" t="s">
        <v>15</v>
      </c>
      <c r="L2">
        <f>F2*G2</f>
        <v>666</v>
      </c>
    </row>
    <row r="3" spans="1:12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3">
        <v>46174</v>
      </c>
      <c r="J3" s="3">
        <v>46179</v>
      </c>
      <c r="K3" t="s">
        <v>20</v>
      </c>
      <c r="L3">
        <f t="shared" ref="L3:L66" si="0">F3*G3</f>
        <v>59136</v>
      </c>
    </row>
    <row r="4" spans="1:12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3">
        <v>46183</v>
      </c>
      <c r="J4" s="3">
        <v>46192</v>
      </c>
      <c r="K4" t="s">
        <v>24</v>
      </c>
      <c r="L4">
        <f t="shared" si="0"/>
        <v>42460</v>
      </c>
    </row>
    <row r="5" spans="1:12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3">
        <v>46034</v>
      </c>
      <c r="J5" s="3">
        <v>46040</v>
      </c>
      <c r="K5" t="s">
        <v>20</v>
      </c>
      <c r="L5">
        <f t="shared" si="0"/>
        <v>187824</v>
      </c>
    </row>
    <row r="6" spans="1:12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3">
        <v>46171</v>
      </c>
      <c r="J6" s="3">
        <v>46179</v>
      </c>
      <c r="K6" t="s">
        <v>24</v>
      </c>
      <c r="L6">
        <f t="shared" si="0"/>
        <v>1260</v>
      </c>
    </row>
    <row r="7" spans="1:12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3">
        <v>46055</v>
      </c>
      <c r="J7" s="3">
        <v>46062</v>
      </c>
      <c r="K7" t="s">
        <v>29</v>
      </c>
      <c r="L7">
        <f t="shared" si="0"/>
        <v>8142</v>
      </c>
    </row>
    <row r="8" spans="1:12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3">
        <v>46162</v>
      </c>
      <c r="J8" s="3">
        <v>46168</v>
      </c>
      <c r="K8" t="s">
        <v>24</v>
      </c>
      <c r="L8">
        <f t="shared" si="0"/>
        <v>2831</v>
      </c>
    </row>
    <row r="9" spans="1:12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3">
        <v>46033</v>
      </c>
      <c r="J9" s="3">
        <v>46041</v>
      </c>
      <c r="K9" t="s">
        <v>24</v>
      </c>
      <c r="L9">
        <f t="shared" si="0"/>
        <v>1134</v>
      </c>
    </row>
    <row r="10" spans="1:12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3">
        <v>46183</v>
      </c>
      <c r="J10" s="3">
        <v>46193</v>
      </c>
      <c r="K10" t="s">
        <v>24</v>
      </c>
      <c r="L10">
        <f t="shared" si="0"/>
        <v>406710</v>
      </c>
    </row>
    <row r="11" spans="1:12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3">
        <v>46062</v>
      </c>
      <c r="J11" s="3">
        <v>46068</v>
      </c>
      <c r="K11" t="s">
        <v>15</v>
      </c>
      <c r="L11">
        <f t="shared" si="0"/>
        <v>6580</v>
      </c>
    </row>
    <row r="12" spans="1:12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3">
        <v>46161</v>
      </c>
      <c r="J12" s="3">
        <v>46163</v>
      </c>
      <c r="K12" t="s">
        <v>15</v>
      </c>
      <c r="L12">
        <f t="shared" si="0"/>
        <v>1232</v>
      </c>
    </row>
    <row r="13" spans="1:12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3">
        <v>46086</v>
      </c>
      <c r="J13" s="3">
        <v>46095</v>
      </c>
      <c r="K13" t="s">
        <v>29</v>
      </c>
      <c r="L13">
        <f t="shared" si="0"/>
        <v>193845</v>
      </c>
    </row>
    <row r="14" spans="1:12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3">
        <v>46095</v>
      </c>
      <c r="J14" s="3">
        <v>46105</v>
      </c>
      <c r="K14" t="s">
        <v>29</v>
      </c>
      <c r="L14">
        <f t="shared" si="0"/>
        <v>7803</v>
      </c>
    </row>
    <row r="15" spans="1:12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3">
        <v>46129</v>
      </c>
      <c r="J15" s="3">
        <v>46134</v>
      </c>
      <c r="K15" t="s">
        <v>29</v>
      </c>
      <c r="L15">
        <f t="shared" si="0"/>
        <v>1019977</v>
      </c>
    </row>
    <row r="16" spans="1:12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3">
        <v>46175</v>
      </c>
      <c r="J16" s="3">
        <v>46185</v>
      </c>
      <c r="K16" t="s">
        <v>20</v>
      </c>
      <c r="L16">
        <f t="shared" si="0"/>
        <v>159621</v>
      </c>
    </row>
    <row r="17" spans="1:12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3">
        <v>46137</v>
      </c>
      <c r="J17" s="3">
        <v>46140</v>
      </c>
      <c r="K17" t="s">
        <v>24</v>
      </c>
      <c r="L17">
        <f t="shared" si="0"/>
        <v>483744</v>
      </c>
    </row>
    <row r="18" spans="1:12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3">
        <v>46082</v>
      </c>
      <c r="J18" s="3">
        <v>46084</v>
      </c>
      <c r="K18" t="s">
        <v>15</v>
      </c>
      <c r="L18">
        <f t="shared" si="0"/>
        <v>1432</v>
      </c>
    </row>
    <row r="19" spans="1:12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3">
        <v>46089</v>
      </c>
      <c r="J19" s="3">
        <v>46094</v>
      </c>
      <c r="K19" t="s">
        <v>29</v>
      </c>
      <c r="L19">
        <f t="shared" si="0"/>
        <v>6020</v>
      </c>
    </row>
    <row r="20" spans="1:12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3">
        <v>46023</v>
      </c>
      <c r="J20" s="3">
        <v>46030</v>
      </c>
      <c r="K20" t="s">
        <v>20</v>
      </c>
      <c r="L20">
        <f t="shared" si="0"/>
        <v>821736</v>
      </c>
    </row>
    <row r="21" spans="1:12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3">
        <v>46078</v>
      </c>
      <c r="J21" s="3">
        <v>46083</v>
      </c>
      <c r="K21" t="s">
        <v>15</v>
      </c>
      <c r="L21">
        <f t="shared" si="0"/>
        <v>22910</v>
      </c>
    </row>
    <row r="22" spans="1:12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3">
        <v>46144</v>
      </c>
      <c r="J22" s="3">
        <v>46148</v>
      </c>
      <c r="K22" t="s">
        <v>24</v>
      </c>
      <c r="L22">
        <f t="shared" si="0"/>
        <v>1452</v>
      </c>
    </row>
    <row r="23" spans="1:12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3">
        <v>46117</v>
      </c>
      <c r="J23" s="3">
        <v>46121</v>
      </c>
      <c r="K23" t="s">
        <v>29</v>
      </c>
      <c r="L23">
        <f t="shared" si="0"/>
        <v>173940</v>
      </c>
    </row>
    <row r="24" spans="1:12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3">
        <v>46193</v>
      </c>
      <c r="J24" s="3">
        <v>46194</v>
      </c>
      <c r="K24" t="s">
        <v>29</v>
      </c>
      <c r="L24">
        <f t="shared" si="0"/>
        <v>52590</v>
      </c>
    </row>
    <row r="25" spans="1:12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3">
        <v>46161</v>
      </c>
      <c r="J25" s="3">
        <v>46165</v>
      </c>
      <c r="K25" t="s">
        <v>15</v>
      </c>
      <c r="L25">
        <f t="shared" si="0"/>
        <v>20184</v>
      </c>
    </row>
    <row r="26" spans="1:12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3">
        <v>46175</v>
      </c>
      <c r="J26" s="3">
        <v>46181</v>
      </c>
      <c r="K26" t="s">
        <v>15</v>
      </c>
      <c r="L26">
        <f t="shared" si="0"/>
        <v>142632</v>
      </c>
    </row>
    <row r="27" spans="1:12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3">
        <v>46039</v>
      </c>
      <c r="J27" s="3">
        <v>46040</v>
      </c>
      <c r="K27" t="s">
        <v>29</v>
      </c>
      <c r="L27">
        <f t="shared" si="0"/>
        <v>5491</v>
      </c>
    </row>
    <row r="28" spans="1:12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3">
        <v>46155</v>
      </c>
      <c r="J28" s="3">
        <v>46161</v>
      </c>
      <c r="K28" t="s">
        <v>51</v>
      </c>
      <c r="L28">
        <f t="shared" si="0"/>
        <v>1056</v>
      </c>
    </row>
    <row r="29" spans="1:12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3">
        <v>46116</v>
      </c>
      <c r="J29" s="3">
        <v>46121</v>
      </c>
      <c r="K29" t="s">
        <v>24</v>
      </c>
      <c r="L29">
        <f t="shared" si="0"/>
        <v>5629</v>
      </c>
    </row>
    <row r="30" spans="1:12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3">
        <v>46046</v>
      </c>
      <c r="J30" s="3">
        <v>46054</v>
      </c>
      <c r="K30" t="s">
        <v>24</v>
      </c>
      <c r="L30">
        <f t="shared" si="0"/>
        <v>7974</v>
      </c>
    </row>
    <row r="31" spans="1:12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3">
        <v>46098</v>
      </c>
      <c r="J31" s="3">
        <v>46108</v>
      </c>
      <c r="K31" t="s">
        <v>15</v>
      </c>
      <c r="L31">
        <f t="shared" si="0"/>
        <v>4368</v>
      </c>
    </row>
    <row r="32" spans="1:12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3">
        <v>46089</v>
      </c>
      <c r="J32" s="3">
        <v>46093</v>
      </c>
      <c r="K32" t="s">
        <v>20</v>
      </c>
      <c r="L32">
        <f t="shared" si="0"/>
        <v>368</v>
      </c>
    </row>
    <row r="33" spans="1:12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3">
        <v>46163</v>
      </c>
      <c r="J33" s="3">
        <v>46165</v>
      </c>
      <c r="K33" t="s">
        <v>29</v>
      </c>
      <c r="L33">
        <f t="shared" si="0"/>
        <v>226100</v>
      </c>
    </row>
    <row r="34" spans="1:12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3">
        <v>46082</v>
      </c>
      <c r="J34" s="3">
        <v>46084</v>
      </c>
      <c r="K34" t="s">
        <v>29</v>
      </c>
      <c r="L34">
        <f t="shared" si="0"/>
        <v>44055</v>
      </c>
    </row>
    <row r="35" spans="1:12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3">
        <v>46052</v>
      </c>
      <c r="J35" s="3">
        <v>46061</v>
      </c>
      <c r="K35" t="s">
        <v>51</v>
      </c>
      <c r="L35">
        <f t="shared" si="0"/>
        <v>86768</v>
      </c>
    </row>
    <row r="36" spans="1:12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3">
        <v>46031</v>
      </c>
      <c r="J36" s="3">
        <v>46034</v>
      </c>
      <c r="K36" t="s">
        <v>24</v>
      </c>
      <c r="L36">
        <f t="shared" si="0"/>
        <v>27447</v>
      </c>
    </row>
    <row r="37" spans="1:12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3">
        <v>46071</v>
      </c>
      <c r="J37" s="3">
        <v>46077</v>
      </c>
      <c r="K37" t="s">
        <v>24</v>
      </c>
      <c r="L37">
        <f t="shared" si="0"/>
        <v>3220</v>
      </c>
    </row>
    <row r="38" spans="1:12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3">
        <v>46033</v>
      </c>
      <c r="J38" s="3">
        <v>46043</v>
      </c>
      <c r="K38" t="s">
        <v>24</v>
      </c>
      <c r="L38">
        <f t="shared" si="0"/>
        <v>86310</v>
      </c>
    </row>
    <row r="39" spans="1:12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3">
        <v>46030</v>
      </c>
      <c r="J39" s="3">
        <v>46031</v>
      </c>
      <c r="K39" t="s">
        <v>51</v>
      </c>
      <c r="L39">
        <f t="shared" si="0"/>
        <v>3791</v>
      </c>
    </row>
    <row r="40" spans="1:12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3">
        <v>46107</v>
      </c>
      <c r="J40" s="3">
        <v>46110</v>
      </c>
      <c r="K40" t="s">
        <v>20</v>
      </c>
      <c r="L40">
        <f t="shared" si="0"/>
        <v>301180</v>
      </c>
    </row>
    <row r="41" spans="1:12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3">
        <v>46171</v>
      </c>
      <c r="J41" s="3">
        <v>46178</v>
      </c>
      <c r="K41" t="s">
        <v>24</v>
      </c>
      <c r="L41">
        <f t="shared" si="0"/>
        <v>75310</v>
      </c>
    </row>
    <row r="42" spans="1:12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3">
        <v>46185</v>
      </c>
      <c r="J42" s="3">
        <v>46188</v>
      </c>
      <c r="K42" t="s">
        <v>15</v>
      </c>
      <c r="L42">
        <f t="shared" si="0"/>
        <v>639</v>
      </c>
    </row>
    <row r="43" spans="1:12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3">
        <v>46081</v>
      </c>
      <c r="J43" s="3">
        <v>46088</v>
      </c>
      <c r="K43" t="s">
        <v>29</v>
      </c>
      <c r="L43">
        <f t="shared" si="0"/>
        <v>3712</v>
      </c>
    </row>
    <row r="44" spans="1:12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3">
        <v>46091</v>
      </c>
      <c r="J44" s="3">
        <v>46098</v>
      </c>
      <c r="K44" t="s">
        <v>29</v>
      </c>
      <c r="L44">
        <f t="shared" si="0"/>
        <v>921860</v>
      </c>
    </row>
    <row r="45" spans="1:12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3">
        <v>46173</v>
      </c>
      <c r="J45" s="3">
        <v>46176</v>
      </c>
      <c r="K45" t="s">
        <v>20</v>
      </c>
      <c r="L45">
        <f t="shared" si="0"/>
        <v>58924</v>
      </c>
    </row>
    <row r="46" spans="1:12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3">
        <v>46038</v>
      </c>
      <c r="J46" s="3">
        <v>46039</v>
      </c>
      <c r="K46" t="s">
        <v>29</v>
      </c>
      <c r="L46">
        <f t="shared" si="0"/>
        <v>188286</v>
      </c>
    </row>
    <row r="47" spans="1:12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3">
        <v>46153</v>
      </c>
      <c r="J47" s="3">
        <v>46158</v>
      </c>
      <c r="K47" t="s">
        <v>29</v>
      </c>
      <c r="L47">
        <f t="shared" si="0"/>
        <v>58329</v>
      </c>
    </row>
    <row r="48" spans="1:12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3">
        <v>46200</v>
      </c>
      <c r="J48" s="3">
        <v>46209</v>
      </c>
      <c r="K48" t="s">
        <v>15</v>
      </c>
      <c r="L48">
        <f t="shared" si="0"/>
        <v>109736</v>
      </c>
    </row>
    <row r="49" spans="1:12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3">
        <v>46180</v>
      </c>
      <c r="J49" s="3">
        <v>46186</v>
      </c>
      <c r="K49" t="s">
        <v>24</v>
      </c>
      <c r="L49">
        <f t="shared" si="0"/>
        <v>164668</v>
      </c>
    </row>
    <row r="50" spans="1:12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3">
        <v>46102</v>
      </c>
      <c r="J50" s="3">
        <v>46108</v>
      </c>
      <c r="K50" t="s">
        <v>24</v>
      </c>
      <c r="L50">
        <f t="shared" si="0"/>
        <v>81578</v>
      </c>
    </row>
    <row r="51" spans="1:12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3">
        <v>46127</v>
      </c>
      <c r="J51" s="3">
        <v>46137</v>
      </c>
      <c r="K51" t="s">
        <v>29</v>
      </c>
      <c r="L51">
        <f t="shared" si="0"/>
        <v>4320</v>
      </c>
    </row>
    <row r="52" spans="1:12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3">
        <v>46037</v>
      </c>
      <c r="J52" s="3">
        <v>46045</v>
      </c>
      <c r="K52" t="s">
        <v>15</v>
      </c>
      <c r="L52">
        <f t="shared" si="0"/>
        <v>564</v>
      </c>
    </row>
    <row r="53" spans="1:12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3">
        <v>46159</v>
      </c>
      <c r="J53" s="3">
        <v>46165</v>
      </c>
      <c r="K53" t="s">
        <v>20</v>
      </c>
      <c r="L53">
        <f t="shared" si="0"/>
        <v>2924</v>
      </c>
    </row>
    <row r="54" spans="1:12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3">
        <v>46064</v>
      </c>
      <c r="J54" s="3">
        <v>46070</v>
      </c>
      <c r="K54" t="s">
        <v>24</v>
      </c>
      <c r="L54">
        <f t="shared" si="0"/>
        <v>9749</v>
      </c>
    </row>
    <row r="55" spans="1:12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3">
        <v>46200</v>
      </c>
      <c r="J55" s="3">
        <v>46201</v>
      </c>
      <c r="K55" t="s">
        <v>51</v>
      </c>
      <c r="L55">
        <f t="shared" si="0"/>
        <v>78384</v>
      </c>
    </row>
    <row r="56" spans="1:12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3">
        <v>46077</v>
      </c>
      <c r="J56" s="3">
        <v>46078</v>
      </c>
      <c r="K56" t="s">
        <v>15</v>
      </c>
      <c r="L56">
        <f t="shared" si="0"/>
        <v>3330</v>
      </c>
    </row>
    <row r="57" spans="1:12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3">
        <v>46133</v>
      </c>
      <c r="J57" s="3">
        <v>46139</v>
      </c>
      <c r="K57" t="s">
        <v>24</v>
      </c>
      <c r="L57">
        <f t="shared" si="0"/>
        <v>29313</v>
      </c>
    </row>
    <row r="58" spans="1:12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3">
        <v>46067</v>
      </c>
      <c r="J58" s="3">
        <v>46076</v>
      </c>
      <c r="K58" t="s">
        <v>51</v>
      </c>
      <c r="L58">
        <f t="shared" si="0"/>
        <v>19062</v>
      </c>
    </row>
    <row r="59" spans="1:12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3">
        <v>46074</v>
      </c>
      <c r="J59" s="3">
        <v>46084</v>
      </c>
      <c r="K59" t="s">
        <v>24</v>
      </c>
      <c r="L59">
        <f t="shared" si="0"/>
        <v>55320</v>
      </c>
    </row>
    <row r="60" spans="1:12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3">
        <v>46113</v>
      </c>
      <c r="J60" s="3">
        <v>46122</v>
      </c>
      <c r="K60" t="s">
        <v>51</v>
      </c>
      <c r="L60">
        <f t="shared" si="0"/>
        <v>2240</v>
      </c>
    </row>
    <row r="61" spans="1:12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3">
        <v>46024</v>
      </c>
      <c r="J61" s="3">
        <v>46030</v>
      </c>
      <c r="K61" t="s">
        <v>20</v>
      </c>
      <c r="L61">
        <f t="shared" si="0"/>
        <v>87543</v>
      </c>
    </row>
    <row r="62" spans="1:12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3">
        <v>46060</v>
      </c>
      <c r="J62" s="3">
        <v>46069</v>
      </c>
      <c r="K62" t="s">
        <v>20</v>
      </c>
      <c r="L62">
        <f t="shared" si="0"/>
        <v>945344</v>
      </c>
    </row>
    <row r="63" spans="1:12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3">
        <v>46190</v>
      </c>
      <c r="J63" s="3">
        <v>46200</v>
      </c>
      <c r="K63" t="s">
        <v>51</v>
      </c>
      <c r="L63">
        <f t="shared" si="0"/>
        <v>66880</v>
      </c>
    </row>
    <row r="64" spans="1:12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3">
        <v>46148</v>
      </c>
      <c r="J64" s="3">
        <v>46155</v>
      </c>
      <c r="K64" t="s">
        <v>15</v>
      </c>
      <c r="L64">
        <f t="shared" si="0"/>
        <v>467208</v>
      </c>
    </row>
    <row r="65" spans="1:12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3">
        <v>46185</v>
      </c>
      <c r="J65" s="3">
        <v>46195</v>
      </c>
      <c r="K65" t="s">
        <v>29</v>
      </c>
      <c r="L65">
        <f t="shared" si="0"/>
        <v>3820</v>
      </c>
    </row>
    <row r="66" spans="1:12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3">
        <v>46192</v>
      </c>
      <c r="J66" s="3">
        <v>46195</v>
      </c>
      <c r="K66" t="s">
        <v>51</v>
      </c>
      <c r="L66">
        <f t="shared" si="0"/>
        <v>7730</v>
      </c>
    </row>
    <row r="67" spans="1:12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3">
        <v>46082</v>
      </c>
      <c r="J67" s="3">
        <v>46083</v>
      </c>
      <c r="K67" t="s">
        <v>15</v>
      </c>
      <c r="L67">
        <f t="shared" ref="L67:L130" si="1">F67*G67</f>
        <v>179805</v>
      </c>
    </row>
    <row r="68" spans="1:12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3">
        <v>46058</v>
      </c>
      <c r="J68" s="3">
        <v>46062</v>
      </c>
      <c r="K68" t="s">
        <v>29</v>
      </c>
      <c r="L68">
        <f t="shared" si="1"/>
        <v>152166</v>
      </c>
    </row>
    <row r="69" spans="1:12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3">
        <v>46196</v>
      </c>
      <c r="J69" s="3">
        <v>46199</v>
      </c>
      <c r="K69" t="s">
        <v>29</v>
      </c>
      <c r="L69">
        <f t="shared" si="1"/>
        <v>218010</v>
      </c>
    </row>
    <row r="70" spans="1:12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3">
        <v>46039</v>
      </c>
      <c r="J70" s="3">
        <v>46046</v>
      </c>
      <c r="K70" t="s">
        <v>15</v>
      </c>
      <c r="L70">
        <f t="shared" si="1"/>
        <v>39735</v>
      </c>
    </row>
    <row r="71" spans="1:12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3">
        <v>46076</v>
      </c>
      <c r="J71" s="3">
        <v>46077</v>
      </c>
      <c r="K71" t="s">
        <v>29</v>
      </c>
      <c r="L71">
        <f t="shared" si="1"/>
        <v>2330</v>
      </c>
    </row>
    <row r="72" spans="1:12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3">
        <v>46129</v>
      </c>
      <c r="J72" s="3">
        <v>46137</v>
      </c>
      <c r="K72" t="s">
        <v>20</v>
      </c>
      <c r="L72">
        <f t="shared" si="1"/>
        <v>579546</v>
      </c>
    </row>
    <row r="73" spans="1:12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3">
        <v>46035</v>
      </c>
      <c r="J73" s="3">
        <v>46036</v>
      </c>
      <c r="K73" t="s">
        <v>24</v>
      </c>
      <c r="L73">
        <f t="shared" si="1"/>
        <v>1175580</v>
      </c>
    </row>
    <row r="74" spans="1:12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3">
        <v>46126</v>
      </c>
      <c r="J74" s="3">
        <v>46129</v>
      </c>
      <c r="K74" t="s">
        <v>51</v>
      </c>
      <c r="L74">
        <f t="shared" si="1"/>
        <v>9812</v>
      </c>
    </row>
    <row r="75" spans="1:12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3">
        <v>46114</v>
      </c>
      <c r="J75" s="3">
        <v>46123</v>
      </c>
      <c r="K75" t="s">
        <v>29</v>
      </c>
      <c r="L75">
        <f t="shared" si="1"/>
        <v>4290</v>
      </c>
    </row>
    <row r="76" spans="1:12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3">
        <v>46185</v>
      </c>
      <c r="J76" s="3">
        <v>46186</v>
      </c>
      <c r="K76" t="s">
        <v>51</v>
      </c>
      <c r="L76">
        <f t="shared" si="1"/>
        <v>259092</v>
      </c>
    </row>
    <row r="77" spans="1:12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3">
        <v>46045</v>
      </c>
      <c r="J77" s="3">
        <v>46055</v>
      </c>
      <c r="K77" t="s">
        <v>29</v>
      </c>
      <c r="L77">
        <f t="shared" si="1"/>
        <v>507566</v>
      </c>
    </row>
    <row r="78" spans="1:12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3">
        <v>46113</v>
      </c>
      <c r="J78" s="3">
        <v>46121</v>
      </c>
      <c r="K78" t="s">
        <v>51</v>
      </c>
      <c r="L78">
        <f t="shared" si="1"/>
        <v>123</v>
      </c>
    </row>
    <row r="79" spans="1:12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3">
        <v>46084</v>
      </c>
      <c r="J79" s="3">
        <v>46090</v>
      </c>
      <c r="K79" t="s">
        <v>29</v>
      </c>
      <c r="L79">
        <f t="shared" si="1"/>
        <v>267058</v>
      </c>
    </row>
    <row r="80" spans="1:12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3">
        <v>46170</v>
      </c>
      <c r="J80" s="3">
        <v>46177</v>
      </c>
      <c r="K80" t="s">
        <v>51</v>
      </c>
      <c r="L80">
        <f t="shared" si="1"/>
        <v>930164</v>
      </c>
    </row>
    <row r="81" spans="1:12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3">
        <v>46133</v>
      </c>
      <c r="J81" s="3">
        <v>46143</v>
      </c>
      <c r="K81" t="s">
        <v>24</v>
      </c>
      <c r="L81">
        <f t="shared" si="1"/>
        <v>649932</v>
      </c>
    </row>
    <row r="82" spans="1:12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3">
        <v>46058</v>
      </c>
      <c r="J82" s="3">
        <v>46060</v>
      </c>
      <c r="K82" t="s">
        <v>51</v>
      </c>
      <c r="L82">
        <f t="shared" si="1"/>
        <v>898680</v>
      </c>
    </row>
    <row r="83" spans="1:12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3">
        <v>46075</v>
      </c>
      <c r="J83" s="3">
        <v>46085</v>
      </c>
      <c r="K83" t="s">
        <v>51</v>
      </c>
      <c r="L83">
        <f t="shared" si="1"/>
        <v>931</v>
      </c>
    </row>
    <row r="84" spans="1:12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3">
        <v>46185</v>
      </c>
      <c r="J84" s="3">
        <v>46193</v>
      </c>
      <c r="K84" t="s">
        <v>15</v>
      </c>
      <c r="L84">
        <f t="shared" si="1"/>
        <v>1588</v>
      </c>
    </row>
    <row r="85" spans="1:12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3">
        <v>46047</v>
      </c>
      <c r="J85" s="3">
        <v>46057</v>
      </c>
      <c r="K85" t="s">
        <v>20</v>
      </c>
      <c r="L85">
        <f t="shared" si="1"/>
        <v>27604</v>
      </c>
    </row>
    <row r="86" spans="1:12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3">
        <v>46146</v>
      </c>
      <c r="J86" s="3">
        <v>46150</v>
      </c>
      <c r="K86" t="s">
        <v>24</v>
      </c>
      <c r="L86">
        <f t="shared" si="1"/>
        <v>860833</v>
      </c>
    </row>
    <row r="87" spans="1:12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3">
        <v>46045</v>
      </c>
      <c r="J87" s="3">
        <v>46049</v>
      </c>
      <c r="K87" t="s">
        <v>24</v>
      </c>
      <c r="L87">
        <f t="shared" si="1"/>
        <v>600</v>
      </c>
    </row>
    <row r="88" spans="1:12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3">
        <v>46171</v>
      </c>
      <c r="J88" s="3">
        <v>46176</v>
      </c>
      <c r="K88" t="s">
        <v>24</v>
      </c>
      <c r="L88">
        <f t="shared" si="1"/>
        <v>5031</v>
      </c>
    </row>
    <row r="89" spans="1:12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3">
        <v>46068</v>
      </c>
      <c r="J89" s="3">
        <v>46069</v>
      </c>
      <c r="K89" t="s">
        <v>20</v>
      </c>
      <c r="L89">
        <f t="shared" si="1"/>
        <v>823300</v>
      </c>
    </row>
    <row r="90" spans="1:12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3">
        <v>46066</v>
      </c>
      <c r="J90" s="3">
        <v>46071</v>
      </c>
      <c r="K90" t="s">
        <v>24</v>
      </c>
      <c r="L90">
        <f t="shared" si="1"/>
        <v>170410</v>
      </c>
    </row>
    <row r="91" spans="1:12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3">
        <v>46088</v>
      </c>
      <c r="J91" s="3">
        <v>46095</v>
      </c>
      <c r="K91" t="s">
        <v>24</v>
      </c>
      <c r="L91">
        <f t="shared" si="1"/>
        <v>1256641</v>
      </c>
    </row>
    <row r="92" spans="1:12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3">
        <v>46136</v>
      </c>
      <c r="J92" s="3">
        <v>46144</v>
      </c>
      <c r="K92" t="s">
        <v>15</v>
      </c>
      <c r="L92">
        <f t="shared" si="1"/>
        <v>610</v>
      </c>
    </row>
    <row r="93" spans="1:12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3">
        <v>46049</v>
      </c>
      <c r="J93" s="3">
        <v>46055</v>
      </c>
      <c r="K93" t="s">
        <v>29</v>
      </c>
      <c r="L93">
        <f t="shared" si="1"/>
        <v>210942</v>
      </c>
    </row>
    <row r="94" spans="1:12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3">
        <v>46175</v>
      </c>
      <c r="J94" s="3">
        <v>46185</v>
      </c>
      <c r="K94" t="s">
        <v>51</v>
      </c>
      <c r="L94">
        <f t="shared" si="1"/>
        <v>49344</v>
      </c>
    </row>
    <row r="95" spans="1:12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3">
        <v>46101</v>
      </c>
      <c r="J95" s="3">
        <v>46105</v>
      </c>
      <c r="K95" t="s">
        <v>29</v>
      </c>
      <c r="L95">
        <f t="shared" si="1"/>
        <v>28292</v>
      </c>
    </row>
    <row r="96" spans="1:12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3">
        <v>46167</v>
      </c>
      <c r="J96" s="3">
        <v>46171</v>
      </c>
      <c r="K96" t="s">
        <v>20</v>
      </c>
      <c r="L96">
        <f t="shared" si="1"/>
        <v>10566</v>
      </c>
    </row>
    <row r="97" spans="1:12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3">
        <v>46054</v>
      </c>
      <c r="J97" s="3">
        <v>46061</v>
      </c>
      <c r="K97" t="s">
        <v>20</v>
      </c>
      <c r="L97">
        <f t="shared" si="1"/>
        <v>220860</v>
      </c>
    </row>
    <row r="98" spans="1:12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3">
        <v>46089</v>
      </c>
      <c r="J98" s="3">
        <v>46094</v>
      </c>
      <c r="K98" t="s">
        <v>24</v>
      </c>
      <c r="L98">
        <f t="shared" si="1"/>
        <v>289800</v>
      </c>
    </row>
    <row r="99" spans="1:12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3">
        <v>46126</v>
      </c>
      <c r="J99" s="3">
        <v>46127</v>
      </c>
      <c r="K99" t="s">
        <v>51</v>
      </c>
      <c r="L99">
        <f t="shared" si="1"/>
        <v>5865</v>
      </c>
    </row>
    <row r="100" spans="1:12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3">
        <v>46058</v>
      </c>
      <c r="J100" s="3">
        <v>46060</v>
      </c>
      <c r="K100" t="s">
        <v>15</v>
      </c>
      <c r="L100">
        <f t="shared" si="1"/>
        <v>5165</v>
      </c>
    </row>
    <row r="101" spans="1:12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3">
        <v>46027</v>
      </c>
      <c r="J101" s="3">
        <v>46031</v>
      </c>
      <c r="K101" t="s">
        <v>51</v>
      </c>
      <c r="L101">
        <f t="shared" si="1"/>
        <v>3256</v>
      </c>
    </row>
    <row r="102" spans="1:12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3">
        <v>46141</v>
      </c>
      <c r="J102" s="3">
        <v>46142</v>
      </c>
      <c r="K102" t="s">
        <v>24</v>
      </c>
      <c r="L102">
        <f t="shared" si="1"/>
        <v>336249</v>
      </c>
    </row>
    <row r="103" spans="1:12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3">
        <v>46106</v>
      </c>
      <c r="J103" s="3">
        <v>46113</v>
      </c>
      <c r="K103" t="s">
        <v>51</v>
      </c>
      <c r="L103">
        <f t="shared" si="1"/>
        <v>760824</v>
      </c>
    </row>
    <row r="104" spans="1:12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3">
        <v>46040</v>
      </c>
      <c r="J104" s="3">
        <v>46041</v>
      </c>
      <c r="K104" t="s">
        <v>29</v>
      </c>
      <c r="L104">
        <f t="shared" si="1"/>
        <v>83475</v>
      </c>
    </row>
    <row r="105" spans="1:12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3">
        <v>46060</v>
      </c>
      <c r="J105" s="3">
        <v>46064</v>
      </c>
      <c r="K105" t="s">
        <v>29</v>
      </c>
      <c r="L105">
        <f t="shared" si="1"/>
        <v>128480</v>
      </c>
    </row>
    <row r="106" spans="1:12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3">
        <v>46057</v>
      </c>
      <c r="J106" s="3">
        <v>46066</v>
      </c>
      <c r="K106" t="s">
        <v>51</v>
      </c>
      <c r="L106">
        <f t="shared" si="1"/>
        <v>986</v>
      </c>
    </row>
    <row r="107" spans="1:12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3">
        <v>46091</v>
      </c>
      <c r="J107" s="3">
        <v>46097</v>
      </c>
      <c r="K107" t="s">
        <v>29</v>
      </c>
      <c r="L107">
        <f t="shared" si="1"/>
        <v>42820</v>
      </c>
    </row>
    <row r="108" spans="1:12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3">
        <v>46076</v>
      </c>
      <c r="J108" s="3">
        <v>46078</v>
      </c>
      <c r="K108" t="s">
        <v>15</v>
      </c>
      <c r="L108">
        <f t="shared" si="1"/>
        <v>57164</v>
      </c>
    </row>
    <row r="109" spans="1:12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3">
        <v>46119</v>
      </c>
      <c r="J109" s="3">
        <v>46127</v>
      </c>
      <c r="K109" t="s">
        <v>20</v>
      </c>
      <c r="L109">
        <f t="shared" si="1"/>
        <v>207645</v>
      </c>
    </row>
    <row r="110" spans="1:12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3">
        <v>46033</v>
      </c>
      <c r="J110" s="3">
        <v>46037</v>
      </c>
      <c r="K110" t="s">
        <v>20</v>
      </c>
      <c r="L110">
        <f t="shared" si="1"/>
        <v>123728</v>
      </c>
    </row>
    <row r="111" spans="1:12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3">
        <v>46077</v>
      </c>
      <c r="J111" s="3">
        <v>46082</v>
      </c>
      <c r="K111" t="s">
        <v>29</v>
      </c>
      <c r="L111">
        <f t="shared" si="1"/>
        <v>95102</v>
      </c>
    </row>
    <row r="112" spans="1:12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3">
        <v>46133</v>
      </c>
      <c r="J112" s="3">
        <v>46141</v>
      </c>
      <c r="K112" t="s">
        <v>29</v>
      </c>
      <c r="L112">
        <f t="shared" si="1"/>
        <v>249725</v>
      </c>
    </row>
    <row r="113" spans="1:12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3">
        <v>46090</v>
      </c>
      <c r="J113" s="3">
        <v>46100</v>
      </c>
      <c r="K113" t="s">
        <v>15</v>
      </c>
      <c r="L113">
        <f t="shared" si="1"/>
        <v>13713</v>
      </c>
    </row>
    <row r="114" spans="1:12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3">
        <v>46076</v>
      </c>
      <c r="J114" s="3">
        <v>46081</v>
      </c>
      <c r="K114" t="s">
        <v>24</v>
      </c>
      <c r="L114">
        <f t="shared" si="1"/>
        <v>87347</v>
      </c>
    </row>
    <row r="115" spans="1:12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3">
        <v>46066</v>
      </c>
      <c r="J115" s="3">
        <v>46069</v>
      </c>
      <c r="K115" t="s">
        <v>15</v>
      </c>
      <c r="L115">
        <f t="shared" si="1"/>
        <v>416</v>
      </c>
    </row>
    <row r="116" spans="1:12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3">
        <v>46149</v>
      </c>
      <c r="J116" s="3">
        <v>46157</v>
      </c>
      <c r="K116" t="s">
        <v>29</v>
      </c>
      <c r="L116">
        <f t="shared" si="1"/>
        <v>2727</v>
      </c>
    </row>
    <row r="117" spans="1:12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3">
        <v>46049</v>
      </c>
      <c r="J117" s="3">
        <v>46051</v>
      </c>
      <c r="K117" t="s">
        <v>15</v>
      </c>
      <c r="L117">
        <f t="shared" si="1"/>
        <v>25384</v>
      </c>
    </row>
    <row r="118" spans="1:12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3">
        <v>46147</v>
      </c>
      <c r="J118" s="3">
        <v>46155</v>
      </c>
      <c r="K118" t="s">
        <v>29</v>
      </c>
      <c r="L118">
        <f t="shared" si="1"/>
        <v>530592</v>
      </c>
    </row>
    <row r="119" spans="1:12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3">
        <v>46178</v>
      </c>
      <c r="J119" s="3">
        <v>46187</v>
      </c>
      <c r="K119" t="s">
        <v>29</v>
      </c>
      <c r="L119">
        <f t="shared" si="1"/>
        <v>164124</v>
      </c>
    </row>
    <row r="120" spans="1:12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3">
        <v>46184</v>
      </c>
      <c r="J120" s="3">
        <v>46192</v>
      </c>
      <c r="K120" t="s">
        <v>51</v>
      </c>
      <c r="L120">
        <f t="shared" si="1"/>
        <v>7412</v>
      </c>
    </row>
    <row r="121" spans="1:12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3">
        <v>46061</v>
      </c>
      <c r="J121" s="3">
        <v>46065</v>
      </c>
      <c r="K121" t="s">
        <v>51</v>
      </c>
      <c r="L121">
        <f t="shared" si="1"/>
        <v>4380</v>
      </c>
    </row>
    <row r="122" spans="1:12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3">
        <v>46103</v>
      </c>
      <c r="J122" s="3">
        <v>46108</v>
      </c>
      <c r="K122" t="s">
        <v>29</v>
      </c>
      <c r="L122">
        <f t="shared" si="1"/>
        <v>223236</v>
      </c>
    </row>
    <row r="123" spans="1:12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3">
        <v>46132</v>
      </c>
      <c r="J123" s="3">
        <v>46135</v>
      </c>
      <c r="K123" t="s">
        <v>29</v>
      </c>
      <c r="L123">
        <f t="shared" si="1"/>
        <v>699860</v>
      </c>
    </row>
    <row r="124" spans="1:12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3">
        <v>46107</v>
      </c>
      <c r="J124" s="3">
        <v>46109</v>
      </c>
      <c r="K124" t="s">
        <v>29</v>
      </c>
      <c r="L124">
        <f t="shared" si="1"/>
        <v>21312</v>
      </c>
    </row>
    <row r="125" spans="1:12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3">
        <v>46182</v>
      </c>
      <c r="J125" s="3">
        <v>46189</v>
      </c>
      <c r="K125" t="s">
        <v>51</v>
      </c>
      <c r="L125">
        <f t="shared" si="1"/>
        <v>56780</v>
      </c>
    </row>
    <row r="126" spans="1:12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3">
        <v>46133</v>
      </c>
      <c r="J126" s="3">
        <v>46138</v>
      </c>
      <c r="K126" t="s">
        <v>24</v>
      </c>
      <c r="L126">
        <f t="shared" si="1"/>
        <v>180</v>
      </c>
    </row>
    <row r="127" spans="1:12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3">
        <v>46201</v>
      </c>
      <c r="J127" s="3">
        <v>46206</v>
      </c>
      <c r="K127" t="s">
        <v>29</v>
      </c>
      <c r="L127">
        <f t="shared" si="1"/>
        <v>329630</v>
      </c>
    </row>
    <row r="128" spans="1:12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3">
        <v>46170</v>
      </c>
      <c r="J128" s="3">
        <v>46179</v>
      </c>
      <c r="K128" t="s">
        <v>29</v>
      </c>
      <c r="L128">
        <f t="shared" si="1"/>
        <v>175410</v>
      </c>
    </row>
    <row r="129" spans="1:12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3">
        <v>46044</v>
      </c>
      <c r="J129" s="3">
        <v>46050</v>
      </c>
      <c r="K129" t="s">
        <v>29</v>
      </c>
      <c r="L129">
        <f t="shared" si="1"/>
        <v>30006</v>
      </c>
    </row>
    <row r="130" spans="1:12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3">
        <v>46160</v>
      </c>
      <c r="J130" s="3">
        <v>46164</v>
      </c>
      <c r="K130" t="s">
        <v>29</v>
      </c>
      <c r="L130">
        <f t="shared" si="1"/>
        <v>1125</v>
      </c>
    </row>
    <row r="131" spans="1:12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3">
        <v>46125</v>
      </c>
      <c r="J131" s="3">
        <v>46131</v>
      </c>
      <c r="K131" t="s">
        <v>24</v>
      </c>
      <c r="L131">
        <f t="shared" ref="L131:L194" si="2">F131*G131</f>
        <v>600</v>
      </c>
    </row>
    <row r="132" spans="1:12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3">
        <v>46168</v>
      </c>
      <c r="J132" s="3">
        <v>46173</v>
      </c>
      <c r="K132" t="s">
        <v>51</v>
      </c>
      <c r="L132">
        <f t="shared" si="2"/>
        <v>40079</v>
      </c>
    </row>
    <row r="133" spans="1:12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3">
        <v>46024</v>
      </c>
      <c r="J133" s="3">
        <v>46034</v>
      </c>
      <c r="K133" t="s">
        <v>24</v>
      </c>
      <c r="L133">
        <f t="shared" si="2"/>
        <v>2700</v>
      </c>
    </row>
    <row r="134" spans="1:12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3">
        <v>46112</v>
      </c>
      <c r="J134" s="3">
        <v>46121</v>
      </c>
      <c r="K134" t="s">
        <v>51</v>
      </c>
      <c r="L134">
        <f t="shared" si="2"/>
        <v>54222</v>
      </c>
    </row>
    <row r="135" spans="1:12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3">
        <v>46148</v>
      </c>
      <c r="J135" s="3">
        <v>46150</v>
      </c>
      <c r="K135" t="s">
        <v>24</v>
      </c>
      <c r="L135">
        <f t="shared" si="2"/>
        <v>292170</v>
      </c>
    </row>
    <row r="136" spans="1:12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3">
        <v>46041</v>
      </c>
      <c r="J136" s="3">
        <v>46042</v>
      </c>
      <c r="K136" t="s">
        <v>15</v>
      </c>
      <c r="L136">
        <f t="shared" si="2"/>
        <v>959476</v>
      </c>
    </row>
    <row r="137" spans="1:12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3">
        <v>46056</v>
      </c>
      <c r="J137" s="3">
        <v>46062</v>
      </c>
      <c r="K137" t="s">
        <v>24</v>
      </c>
      <c r="L137">
        <f t="shared" si="2"/>
        <v>276032</v>
      </c>
    </row>
    <row r="138" spans="1:12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3">
        <v>46184</v>
      </c>
      <c r="J138" s="3">
        <v>46190</v>
      </c>
      <c r="K138" t="s">
        <v>29</v>
      </c>
      <c r="L138">
        <f t="shared" si="2"/>
        <v>4320</v>
      </c>
    </row>
    <row r="139" spans="1:12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3">
        <v>46084</v>
      </c>
      <c r="J139" s="3">
        <v>46092</v>
      </c>
      <c r="K139" t="s">
        <v>51</v>
      </c>
      <c r="L139">
        <f t="shared" si="2"/>
        <v>72330</v>
      </c>
    </row>
    <row r="140" spans="1:12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3">
        <v>46093</v>
      </c>
      <c r="J140" s="3">
        <v>46099</v>
      </c>
      <c r="K140" t="s">
        <v>15</v>
      </c>
      <c r="L140">
        <f t="shared" si="2"/>
        <v>490263</v>
      </c>
    </row>
    <row r="141" spans="1:12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3">
        <v>46061</v>
      </c>
      <c r="J141" s="3">
        <v>46065</v>
      </c>
      <c r="K141" t="s">
        <v>15</v>
      </c>
      <c r="L141">
        <f t="shared" si="2"/>
        <v>340060</v>
      </c>
    </row>
    <row r="142" spans="1:12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3">
        <v>46043</v>
      </c>
      <c r="J142" s="3">
        <v>46053</v>
      </c>
      <c r="K142" t="s">
        <v>15</v>
      </c>
      <c r="L142">
        <f t="shared" si="2"/>
        <v>136700</v>
      </c>
    </row>
    <row r="143" spans="1:12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3">
        <v>46064</v>
      </c>
      <c r="J143" s="3">
        <v>46071</v>
      </c>
      <c r="K143" t="s">
        <v>29</v>
      </c>
      <c r="L143">
        <f t="shared" si="2"/>
        <v>538092</v>
      </c>
    </row>
    <row r="144" spans="1:12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3">
        <v>46160</v>
      </c>
      <c r="J144" s="3">
        <v>46167</v>
      </c>
      <c r="K144" t="s">
        <v>24</v>
      </c>
      <c r="L144">
        <f t="shared" si="2"/>
        <v>5928</v>
      </c>
    </row>
    <row r="145" spans="1:12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3">
        <v>46138</v>
      </c>
      <c r="J145" s="3">
        <v>46140</v>
      </c>
      <c r="K145" t="s">
        <v>20</v>
      </c>
      <c r="L145">
        <f t="shared" si="2"/>
        <v>3504</v>
      </c>
    </row>
    <row r="146" spans="1:12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3">
        <v>46102</v>
      </c>
      <c r="J146" s="3">
        <v>46112</v>
      </c>
      <c r="K146" t="s">
        <v>24</v>
      </c>
      <c r="L146">
        <f t="shared" si="2"/>
        <v>68858</v>
      </c>
    </row>
    <row r="147" spans="1:12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3">
        <v>46190</v>
      </c>
      <c r="J147" s="3">
        <v>46197</v>
      </c>
      <c r="K147" t="s">
        <v>29</v>
      </c>
      <c r="L147">
        <f t="shared" si="2"/>
        <v>477519</v>
      </c>
    </row>
    <row r="148" spans="1:12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3">
        <v>46154</v>
      </c>
      <c r="J148" s="3">
        <v>46155</v>
      </c>
      <c r="K148" t="s">
        <v>20</v>
      </c>
      <c r="L148">
        <f t="shared" si="2"/>
        <v>67067</v>
      </c>
    </row>
    <row r="149" spans="1:12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3">
        <v>46030</v>
      </c>
      <c r="J149" s="3">
        <v>46032</v>
      </c>
      <c r="K149" t="s">
        <v>24</v>
      </c>
      <c r="L149">
        <f t="shared" si="2"/>
        <v>33253</v>
      </c>
    </row>
    <row r="150" spans="1:12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3">
        <v>46053</v>
      </c>
      <c r="J150" s="3">
        <v>46054</v>
      </c>
      <c r="K150" t="s">
        <v>29</v>
      </c>
      <c r="L150">
        <f t="shared" si="2"/>
        <v>228530</v>
      </c>
    </row>
    <row r="151" spans="1:12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3">
        <v>46143</v>
      </c>
      <c r="J151" s="3">
        <v>46153</v>
      </c>
      <c r="K151" t="s">
        <v>24</v>
      </c>
      <c r="L151">
        <f t="shared" si="2"/>
        <v>53230</v>
      </c>
    </row>
    <row r="152" spans="1:12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3">
        <v>46024</v>
      </c>
      <c r="J152" s="3">
        <v>46029</v>
      </c>
      <c r="K152" t="s">
        <v>51</v>
      </c>
      <c r="L152">
        <f t="shared" si="2"/>
        <v>5440</v>
      </c>
    </row>
    <row r="153" spans="1:12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3">
        <v>46062</v>
      </c>
      <c r="J153" s="3">
        <v>46070</v>
      </c>
      <c r="K153" t="s">
        <v>15</v>
      </c>
      <c r="L153">
        <f t="shared" si="2"/>
        <v>114100</v>
      </c>
    </row>
    <row r="154" spans="1:12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3">
        <v>46069</v>
      </c>
      <c r="J154" s="3">
        <v>46072</v>
      </c>
      <c r="K154" t="s">
        <v>29</v>
      </c>
      <c r="L154">
        <f t="shared" si="2"/>
        <v>195187</v>
      </c>
    </row>
    <row r="155" spans="1:12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3">
        <v>46178</v>
      </c>
      <c r="J155" s="3">
        <v>46183</v>
      </c>
      <c r="K155" t="s">
        <v>51</v>
      </c>
      <c r="L155">
        <f t="shared" si="2"/>
        <v>91515</v>
      </c>
    </row>
    <row r="156" spans="1:12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3">
        <v>46093</v>
      </c>
      <c r="J156" s="3">
        <v>46096</v>
      </c>
      <c r="K156" t="s">
        <v>24</v>
      </c>
      <c r="L156">
        <f t="shared" si="2"/>
        <v>56433</v>
      </c>
    </row>
    <row r="157" spans="1:12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3">
        <v>46025</v>
      </c>
      <c r="J157" s="3">
        <v>46029</v>
      </c>
      <c r="K157" t="s">
        <v>15</v>
      </c>
      <c r="L157">
        <f t="shared" si="2"/>
        <v>2330</v>
      </c>
    </row>
    <row r="158" spans="1:12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3">
        <v>46076</v>
      </c>
      <c r="J158" s="3">
        <v>46080</v>
      </c>
      <c r="K158" t="s">
        <v>29</v>
      </c>
      <c r="L158">
        <f t="shared" si="2"/>
        <v>609</v>
      </c>
    </row>
    <row r="159" spans="1:12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3">
        <v>46079</v>
      </c>
      <c r="J159" s="3">
        <v>46082</v>
      </c>
      <c r="K159" t="s">
        <v>51</v>
      </c>
      <c r="L159">
        <f t="shared" si="2"/>
        <v>162734</v>
      </c>
    </row>
    <row r="160" spans="1:12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3">
        <v>46184</v>
      </c>
      <c r="J160" s="3">
        <v>46187</v>
      </c>
      <c r="K160" t="s">
        <v>15</v>
      </c>
      <c r="L160">
        <f t="shared" si="2"/>
        <v>280000</v>
      </c>
    </row>
    <row r="161" spans="1:12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3">
        <v>46142</v>
      </c>
      <c r="J161" s="3">
        <v>46147</v>
      </c>
      <c r="K161" t="s">
        <v>51</v>
      </c>
      <c r="L161">
        <f t="shared" si="2"/>
        <v>377902</v>
      </c>
    </row>
    <row r="162" spans="1:12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3">
        <v>46105</v>
      </c>
      <c r="J162" s="3">
        <v>46109</v>
      </c>
      <c r="K162" t="s">
        <v>20</v>
      </c>
      <c r="L162">
        <f t="shared" si="2"/>
        <v>218636</v>
      </c>
    </row>
    <row r="163" spans="1:12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3">
        <v>46100</v>
      </c>
      <c r="J163" s="3">
        <v>46101</v>
      </c>
      <c r="K163" t="s">
        <v>20</v>
      </c>
      <c r="L163">
        <f t="shared" si="2"/>
        <v>56352</v>
      </c>
    </row>
    <row r="164" spans="1:12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3">
        <v>46081</v>
      </c>
      <c r="J164" s="3">
        <v>46086</v>
      </c>
      <c r="K164" t="s">
        <v>29</v>
      </c>
      <c r="L164">
        <f t="shared" si="2"/>
        <v>561960</v>
      </c>
    </row>
    <row r="165" spans="1:12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3">
        <v>46196</v>
      </c>
      <c r="J165" s="3">
        <v>46203</v>
      </c>
      <c r="K165" t="s">
        <v>51</v>
      </c>
      <c r="L165">
        <f t="shared" si="2"/>
        <v>172305</v>
      </c>
    </row>
    <row r="166" spans="1:12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3">
        <v>46042</v>
      </c>
      <c r="J166" s="3">
        <v>46050</v>
      </c>
      <c r="K166" t="s">
        <v>51</v>
      </c>
      <c r="L166">
        <f t="shared" si="2"/>
        <v>427</v>
      </c>
    </row>
    <row r="167" spans="1:12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3">
        <v>46092</v>
      </c>
      <c r="J167" s="3">
        <v>46093</v>
      </c>
      <c r="K167" t="s">
        <v>20</v>
      </c>
      <c r="L167">
        <f t="shared" si="2"/>
        <v>396</v>
      </c>
    </row>
    <row r="168" spans="1:12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3">
        <v>46160</v>
      </c>
      <c r="J168" s="3">
        <v>46170</v>
      </c>
      <c r="K168" t="s">
        <v>29</v>
      </c>
      <c r="L168">
        <f t="shared" si="2"/>
        <v>5020</v>
      </c>
    </row>
    <row r="169" spans="1:12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3">
        <v>46130</v>
      </c>
      <c r="J169" s="3">
        <v>46140</v>
      </c>
      <c r="K169" t="s">
        <v>29</v>
      </c>
      <c r="L169">
        <f t="shared" si="2"/>
        <v>6030</v>
      </c>
    </row>
    <row r="170" spans="1:12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3">
        <v>46121</v>
      </c>
      <c r="J170" s="3">
        <v>46130</v>
      </c>
      <c r="K170" t="s">
        <v>24</v>
      </c>
      <c r="L170">
        <f t="shared" si="2"/>
        <v>145248</v>
      </c>
    </row>
    <row r="171" spans="1:12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3">
        <v>46105</v>
      </c>
      <c r="J171" s="3">
        <v>46106</v>
      </c>
      <c r="K171" t="s">
        <v>24</v>
      </c>
      <c r="L171">
        <f t="shared" si="2"/>
        <v>2034</v>
      </c>
    </row>
    <row r="172" spans="1:12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3">
        <v>46155</v>
      </c>
      <c r="J172" s="3">
        <v>46160</v>
      </c>
      <c r="K172" t="s">
        <v>20</v>
      </c>
      <c r="L172">
        <f t="shared" si="2"/>
        <v>2499</v>
      </c>
    </row>
    <row r="173" spans="1:12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3">
        <v>46120</v>
      </c>
      <c r="J173" s="3">
        <v>46129</v>
      </c>
      <c r="K173" t="s">
        <v>24</v>
      </c>
      <c r="L173">
        <f t="shared" si="2"/>
        <v>561119</v>
      </c>
    </row>
    <row r="174" spans="1:12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3">
        <v>46050</v>
      </c>
      <c r="J174" s="3">
        <v>46060</v>
      </c>
      <c r="K174" t="s">
        <v>51</v>
      </c>
      <c r="L174">
        <f t="shared" si="2"/>
        <v>3210</v>
      </c>
    </row>
    <row r="175" spans="1:12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3">
        <v>46066</v>
      </c>
      <c r="J175" s="3">
        <v>46069</v>
      </c>
      <c r="K175" t="s">
        <v>24</v>
      </c>
      <c r="L175">
        <f t="shared" si="2"/>
        <v>2015</v>
      </c>
    </row>
    <row r="176" spans="1:12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3">
        <v>46088</v>
      </c>
      <c r="J176" s="3">
        <v>46094</v>
      </c>
      <c r="K176" t="s">
        <v>20</v>
      </c>
      <c r="L176">
        <f t="shared" si="2"/>
        <v>203390</v>
      </c>
    </row>
    <row r="177" spans="1:12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3">
        <v>46048</v>
      </c>
      <c r="J177" s="3">
        <v>46056</v>
      </c>
      <c r="K177" t="s">
        <v>29</v>
      </c>
      <c r="L177">
        <f t="shared" si="2"/>
        <v>797929</v>
      </c>
    </row>
    <row r="178" spans="1:12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3">
        <v>46169</v>
      </c>
      <c r="J178" s="3">
        <v>46179</v>
      </c>
      <c r="K178" t="s">
        <v>20</v>
      </c>
      <c r="L178">
        <f t="shared" si="2"/>
        <v>105014</v>
      </c>
    </row>
    <row r="179" spans="1:12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3">
        <v>46111</v>
      </c>
      <c r="J179" s="3">
        <v>46117</v>
      </c>
      <c r="K179" t="s">
        <v>20</v>
      </c>
      <c r="L179">
        <f t="shared" si="2"/>
        <v>250</v>
      </c>
    </row>
    <row r="180" spans="1:12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3">
        <v>46155</v>
      </c>
      <c r="J180" s="3">
        <v>46158</v>
      </c>
      <c r="K180" t="s">
        <v>15</v>
      </c>
      <c r="L180">
        <f t="shared" si="2"/>
        <v>62400</v>
      </c>
    </row>
    <row r="181" spans="1:12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3">
        <v>46111</v>
      </c>
      <c r="J181" s="3">
        <v>46121</v>
      </c>
      <c r="K181" t="s">
        <v>29</v>
      </c>
      <c r="L181">
        <f t="shared" si="2"/>
        <v>4152</v>
      </c>
    </row>
    <row r="182" spans="1:12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3">
        <v>46033</v>
      </c>
      <c r="J182" s="3">
        <v>46035</v>
      </c>
      <c r="K182" t="s">
        <v>15</v>
      </c>
      <c r="L182">
        <f t="shared" si="2"/>
        <v>1428</v>
      </c>
    </row>
    <row r="183" spans="1:12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3">
        <v>46108</v>
      </c>
      <c r="J183" s="3">
        <v>46114</v>
      </c>
      <c r="K183" t="s">
        <v>24</v>
      </c>
      <c r="L183">
        <f t="shared" si="2"/>
        <v>528176</v>
      </c>
    </row>
    <row r="184" spans="1:12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3">
        <v>46109</v>
      </c>
      <c r="J184" s="3">
        <v>46111</v>
      </c>
      <c r="K184" t="s">
        <v>20</v>
      </c>
      <c r="L184">
        <f t="shared" si="2"/>
        <v>618</v>
      </c>
    </row>
    <row r="185" spans="1:12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3">
        <v>46145</v>
      </c>
      <c r="J185" s="3">
        <v>46153</v>
      </c>
      <c r="K185" t="s">
        <v>29</v>
      </c>
      <c r="L185">
        <f t="shared" si="2"/>
        <v>606204</v>
      </c>
    </row>
    <row r="186" spans="1:12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3">
        <v>46153</v>
      </c>
      <c r="J186" s="3">
        <v>46156</v>
      </c>
      <c r="K186" t="s">
        <v>15</v>
      </c>
      <c r="L186">
        <f t="shared" si="2"/>
        <v>248576</v>
      </c>
    </row>
    <row r="187" spans="1:12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3">
        <v>46188</v>
      </c>
      <c r="J187" s="3">
        <v>46196</v>
      </c>
      <c r="K187" t="s">
        <v>24</v>
      </c>
      <c r="L187">
        <f t="shared" si="2"/>
        <v>149510</v>
      </c>
    </row>
    <row r="188" spans="1:12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3">
        <v>46178</v>
      </c>
      <c r="J188" s="3">
        <v>46184</v>
      </c>
      <c r="K188" t="s">
        <v>51</v>
      </c>
      <c r="L188">
        <f t="shared" si="2"/>
        <v>1233486</v>
      </c>
    </row>
    <row r="189" spans="1:12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3">
        <v>46137</v>
      </c>
      <c r="J189" s="3">
        <v>46142</v>
      </c>
      <c r="K189" t="s">
        <v>15</v>
      </c>
      <c r="L189">
        <f t="shared" si="2"/>
        <v>62208</v>
      </c>
    </row>
    <row r="190" spans="1:12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3">
        <v>46184</v>
      </c>
      <c r="J190" s="3">
        <v>46185</v>
      </c>
      <c r="K190" t="s">
        <v>29</v>
      </c>
      <c r="L190">
        <f t="shared" si="2"/>
        <v>99924</v>
      </c>
    </row>
    <row r="191" spans="1:12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3">
        <v>46052</v>
      </c>
      <c r="J191" s="3">
        <v>46062</v>
      </c>
      <c r="K191" t="s">
        <v>20</v>
      </c>
      <c r="L191">
        <f t="shared" si="2"/>
        <v>40616</v>
      </c>
    </row>
    <row r="192" spans="1:12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3">
        <v>46149</v>
      </c>
      <c r="J192" s="3">
        <v>46156</v>
      </c>
      <c r="K192" t="s">
        <v>20</v>
      </c>
      <c r="L192">
        <f t="shared" si="2"/>
        <v>77679</v>
      </c>
    </row>
    <row r="193" spans="1:12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3">
        <v>46089</v>
      </c>
      <c r="J193" s="3">
        <v>46095</v>
      </c>
      <c r="K193" t="s">
        <v>24</v>
      </c>
      <c r="L193">
        <f t="shared" si="2"/>
        <v>882</v>
      </c>
    </row>
    <row r="194" spans="1:12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3">
        <v>46110</v>
      </c>
      <c r="J194" s="3">
        <v>46112</v>
      </c>
      <c r="K194" t="s">
        <v>29</v>
      </c>
      <c r="L194">
        <f t="shared" si="2"/>
        <v>51281</v>
      </c>
    </row>
    <row r="195" spans="1:12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3">
        <v>46129</v>
      </c>
      <c r="J195" s="3">
        <v>46133</v>
      </c>
      <c r="K195" t="s">
        <v>51</v>
      </c>
      <c r="L195">
        <f t="shared" ref="L195:L258" si="3">F195*G195</f>
        <v>167128</v>
      </c>
    </row>
    <row r="196" spans="1:12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3">
        <v>46198</v>
      </c>
      <c r="J196" s="3">
        <v>46206</v>
      </c>
      <c r="K196" t="s">
        <v>51</v>
      </c>
      <c r="L196">
        <f t="shared" si="3"/>
        <v>5947</v>
      </c>
    </row>
    <row r="197" spans="1:12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3">
        <v>46155</v>
      </c>
      <c r="J197" s="3">
        <v>46159</v>
      </c>
      <c r="K197" t="s">
        <v>20</v>
      </c>
      <c r="L197">
        <f t="shared" si="3"/>
        <v>63440</v>
      </c>
    </row>
    <row r="198" spans="1:12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3">
        <v>46045</v>
      </c>
      <c r="J198" s="3">
        <v>46048</v>
      </c>
      <c r="K198" t="s">
        <v>15</v>
      </c>
      <c r="L198">
        <f t="shared" si="3"/>
        <v>226760</v>
      </c>
    </row>
    <row r="199" spans="1:12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3">
        <v>46106</v>
      </c>
      <c r="J199" s="3">
        <v>46109</v>
      </c>
      <c r="K199" t="s">
        <v>51</v>
      </c>
      <c r="L199">
        <f t="shared" si="3"/>
        <v>5892</v>
      </c>
    </row>
    <row r="200" spans="1:12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3">
        <v>46178</v>
      </c>
      <c r="J200" s="3">
        <v>46180</v>
      </c>
      <c r="K200" t="s">
        <v>24</v>
      </c>
      <c r="L200">
        <f t="shared" si="3"/>
        <v>8750</v>
      </c>
    </row>
    <row r="201" spans="1:12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3">
        <v>46134</v>
      </c>
      <c r="J201" s="3">
        <v>46143</v>
      </c>
      <c r="K201" t="s">
        <v>29</v>
      </c>
      <c r="L201">
        <f t="shared" si="3"/>
        <v>902486</v>
      </c>
    </row>
    <row r="202" spans="1:12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3">
        <v>46075</v>
      </c>
      <c r="J202" s="3">
        <v>46076</v>
      </c>
      <c r="K202" t="s">
        <v>20</v>
      </c>
      <c r="L202">
        <f t="shared" si="3"/>
        <v>2502</v>
      </c>
    </row>
    <row r="203" spans="1:12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3">
        <v>46082</v>
      </c>
      <c r="J203" s="3">
        <v>46091</v>
      </c>
      <c r="K203" t="s">
        <v>15</v>
      </c>
      <c r="L203">
        <f t="shared" si="3"/>
        <v>40624</v>
      </c>
    </row>
    <row r="204" spans="1:12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3">
        <v>46119</v>
      </c>
      <c r="J204" s="3">
        <v>46122</v>
      </c>
      <c r="K204" t="s">
        <v>51</v>
      </c>
      <c r="L204">
        <f t="shared" si="3"/>
        <v>113815</v>
      </c>
    </row>
    <row r="205" spans="1:12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3">
        <v>46123</v>
      </c>
      <c r="J205" s="3">
        <v>46132</v>
      </c>
      <c r="K205" t="s">
        <v>20</v>
      </c>
      <c r="L205">
        <f t="shared" si="3"/>
        <v>5408</v>
      </c>
    </row>
    <row r="206" spans="1:12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3">
        <v>46033</v>
      </c>
      <c r="J206" s="3">
        <v>46040</v>
      </c>
      <c r="K206" t="s">
        <v>51</v>
      </c>
      <c r="L206">
        <f t="shared" si="3"/>
        <v>112</v>
      </c>
    </row>
    <row r="207" spans="1:12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3">
        <v>46166</v>
      </c>
      <c r="J207" s="3">
        <v>46174</v>
      </c>
      <c r="K207" t="s">
        <v>15</v>
      </c>
      <c r="L207">
        <f t="shared" si="3"/>
        <v>540</v>
      </c>
    </row>
    <row r="208" spans="1:12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3">
        <v>46164</v>
      </c>
      <c r="J208" s="3">
        <v>46173</v>
      </c>
      <c r="K208" t="s">
        <v>24</v>
      </c>
      <c r="L208">
        <f t="shared" si="3"/>
        <v>1708</v>
      </c>
    </row>
    <row r="209" spans="1:12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3">
        <v>46042</v>
      </c>
      <c r="J209" s="3">
        <v>46047</v>
      </c>
      <c r="K209" t="s">
        <v>20</v>
      </c>
      <c r="L209">
        <f t="shared" si="3"/>
        <v>45762</v>
      </c>
    </row>
    <row r="210" spans="1:12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3">
        <v>46103</v>
      </c>
      <c r="J210" s="3">
        <v>46110</v>
      </c>
      <c r="K210" t="s">
        <v>20</v>
      </c>
      <c r="L210">
        <f t="shared" si="3"/>
        <v>385396</v>
      </c>
    </row>
    <row r="211" spans="1:12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3">
        <v>46052</v>
      </c>
      <c r="J211" s="3">
        <v>46060</v>
      </c>
      <c r="K211" t="s">
        <v>29</v>
      </c>
      <c r="L211">
        <f t="shared" si="3"/>
        <v>3490</v>
      </c>
    </row>
    <row r="212" spans="1:12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3">
        <v>46175</v>
      </c>
      <c r="J212" s="3">
        <v>46183</v>
      </c>
      <c r="K212" t="s">
        <v>15</v>
      </c>
      <c r="L212">
        <f t="shared" si="3"/>
        <v>17886</v>
      </c>
    </row>
    <row r="213" spans="1:12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3">
        <v>46194</v>
      </c>
      <c r="J213" s="3">
        <v>46195</v>
      </c>
      <c r="K213" t="s">
        <v>29</v>
      </c>
      <c r="L213">
        <f t="shared" si="3"/>
        <v>343800</v>
      </c>
    </row>
    <row r="214" spans="1:12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3">
        <v>46116</v>
      </c>
      <c r="J214" s="3">
        <v>46119</v>
      </c>
      <c r="K214" t="s">
        <v>15</v>
      </c>
      <c r="L214">
        <f t="shared" si="3"/>
        <v>443856</v>
      </c>
    </row>
    <row r="215" spans="1:12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3">
        <v>46140</v>
      </c>
      <c r="J215" s="3">
        <v>46145</v>
      </c>
      <c r="K215" t="s">
        <v>51</v>
      </c>
      <c r="L215">
        <f t="shared" si="3"/>
        <v>262808</v>
      </c>
    </row>
    <row r="216" spans="1:12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3">
        <v>46131</v>
      </c>
      <c r="J216" s="3">
        <v>46136</v>
      </c>
      <c r="K216" t="s">
        <v>29</v>
      </c>
      <c r="L216">
        <f t="shared" si="3"/>
        <v>7524</v>
      </c>
    </row>
    <row r="217" spans="1:12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3">
        <v>46135</v>
      </c>
      <c r="J217" s="3">
        <v>46139</v>
      </c>
      <c r="K217" t="s">
        <v>29</v>
      </c>
      <c r="L217">
        <f t="shared" si="3"/>
        <v>567090</v>
      </c>
    </row>
    <row r="218" spans="1:12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3">
        <v>46171</v>
      </c>
      <c r="J218" s="3">
        <v>46172</v>
      </c>
      <c r="K218" t="s">
        <v>29</v>
      </c>
      <c r="L218">
        <f t="shared" si="3"/>
        <v>1080</v>
      </c>
    </row>
    <row r="219" spans="1:12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3">
        <v>46143</v>
      </c>
      <c r="J219" s="3">
        <v>46151</v>
      </c>
      <c r="K219" t="s">
        <v>51</v>
      </c>
      <c r="L219">
        <f t="shared" si="3"/>
        <v>134</v>
      </c>
    </row>
    <row r="220" spans="1:12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3">
        <v>46202</v>
      </c>
      <c r="J220" s="3">
        <v>46206</v>
      </c>
      <c r="K220" t="s">
        <v>29</v>
      </c>
      <c r="L220">
        <f t="shared" si="3"/>
        <v>468</v>
      </c>
    </row>
    <row r="221" spans="1:12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3">
        <v>46170</v>
      </c>
      <c r="J221" s="3">
        <v>46174</v>
      </c>
      <c r="K221" t="s">
        <v>24</v>
      </c>
      <c r="L221">
        <f t="shared" si="3"/>
        <v>17722</v>
      </c>
    </row>
    <row r="222" spans="1:12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3">
        <v>46122</v>
      </c>
      <c r="J222" s="3">
        <v>46125</v>
      </c>
      <c r="K222" t="s">
        <v>51</v>
      </c>
      <c r="L222">
        <f t="shared" si="3"/>
        <v>48258</v>
      </c>
    </row>
    <row r="223" spans="1:12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3">
        <v>46154</v>
      </c>
      <c r="J223" s="3">
        <v>46163</v>
      </c>
      <c r="K223" t="s">
        <v>15</v>
      </c>
      <c r="L223">
        <f t="shared" si="3"/>
        <v>24408</v>
      </c>
    </row>
    <row r="224" spans="1:12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3">
        <v>46077</v>
      </c>
      <c r="J224" s="3">
        <v>46084</v>
      </c>
      <c r="K224" t="s">
        <v>15</v>
      </c>
      <c r="L224">
        <f t="shared" si="3"/>
        <v>8996</v>
      </c>
    </row>
    <row r="225" spans="1:12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3">
        <v>46045</v>
      </c>
      <c r="J225" s="3">
        <v>46052</v>
      </c>
      <c r="K225" t="s">
        <v>24</v>
      </c>
      <c r="L225">
        <f t="shared" si="3"/>
        <v>294048</v>
      </c>
    </row>
    <row r="226" spans="1:12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3">
        <v>46125</v>
      </c>
      <c r="J226" s="3">
        <v>46126</v>
      </c>
      <c r="K226" t="s">
        <v>20</v>
      </c>
      <c r="L226">
        <f t="shared" si="3"/>
        <v>516192</v>
      </c>
    </row>
    <row r="227" spans="1:12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3">
        <v>46044</v>
      </c>
      <c r="J227" s="3">
        <v>46048</v>
      </c>
      <c r="K227" t="s">
        <v>29</v>
      </c>
      <c r="L227">
        <f t="shared" si="3"/>
        <v>277316</v>
      </c>
    </row>
    <row r="228" spans="1:12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3">
        <v>46113</v>
      </c>
      <c r="J228" s="3">
        <v>46116</v>
      </c>
      <c r="K228" t="s">
        <v>15</v>
      </c>
      <c r="L228">
        <f t="shared" si="3"/>
        <v>21136</v>
      </c>
    </row>
    <row r="229" spans="1:12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3">
        <v>46041</v>
      </c>
      <c r="J229" s="3">
        <v>46043</v>
      </c>
      <c r="K229" t="s">
        <v>24</v>
      </c>
      <c r="L229">
        <f t="shared" si="3"/>
        <v>279632</v>
      </c>
    </row>
    <row r="230" spans="1:12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3">
        <v>46027</v>
      </c>
      <c r="J230" s="3">
        <v>46036</v>
      </c>
      <c r="K230" t="s">
        <v>20</v>
      </c>
      <c r="L230">
        <f t="shared" si="3"/>
        <v>82026</v>
      </c>
    </row>
    <row r="231" spans="1:12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3">
        <v>46050</v>
      </c>
      <c r="J231" s="3">
        <v>46059</v>
      </c>
      <c r="K231" t="s">
        <v>24</v>
      </c>
      <c r="L231">
        <f t="shared" si="3"/>
        <v>20524</v>
      </c>
    </row>
    <row r="232" spans="1:12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3">
        <v>46178</v>
      </c>
      <c r="J232" s="3">
        <v>46186</v>
      </c>
      <c r="K232" t="s">
        <v>20</v>
      </c>
      <c r="L232">
        <f t="shared" si="3"/>
        <v>133861</v>
      </c>
    </row>
    <row r="233" spans="1:12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3">
        <v>46060</v>
      </c>
      <c r="J233" s="3">
        <v>46065</v>
      </c>
      <c r="K233" t="s">
        <v>15</v>
      </c>
      <c r="L233">
        <f t="shared" si="3"/>
        <v>39816</v>
      </c>
    </row>
    <row r="234" spans="1:12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3">
        <v>46198</v>
      </c>
      <c r="J234" s="3">
        <v>46202</v>
      </c>
      <c r="K234" t="s">
        <v>24</v>
      </c>
      <c r="L234">
        <f t="shared" si="3"/>
        <v>278820</v>
      </c>
    </row>
    <row r="235" spans="1:12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3">
        <v>46114</v>
      </c>
      <c r="J235" s="3">
        <v>46121</v>
      </c>
      <c r="K235" t="s">
        <v>51</v>
      </c>
      <c r="L235">
        <f t="shared" si="3"/>
        <v>14320</v>
      </c>
    </row>
    <row r="236" spans="1:12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3">
        <v>46172</v>
      </c>
      <c r="J236" s="3">
        <v>46177</v>
      </c>
      <c r="K236" t="s">
        <v>29</v>
      </c>
      <c r="L236">
        <f t="shared" si="3"/>
        <v>4005</v>
      </c>
    </row>
    <row r="237" spans="1:12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3">
        <v>46164</v>
      </c>
      <c r="J237" s="3">
        <v>46169</v>
      </c>
      <c r="K237" t="s">
        <v>29</v>
      </c>
      <c r="L237">
        <f t="shared" si="3"/>
        <v>2268</v>
      </c>
    </row>
    <row r="238" spans="1:12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3">
        <v>46137</v>
      </c>
      <c r="J238" s="3">
        <v>46145</v>
      </c>
      <c r="K238" t="s">
        <v>15</v>
      </c>
      <c r="L238">
        <f t="shared" si="3"/>
        <v>96984</v>
      </c>
    </row>
    <row r="239" spans="1:12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3">
        <v>46096</v>
      </c>
      <c r="J239" s="3">
        <v>46097</v>
      </c>
      <c r="K239" t="s">
        <v>51</v>
      </c>
      <c r="L239">
        <f t="shared" si="3"/>
        <v>1080</v>
      </c>
    </row>
    <row r="240" spans="1:12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3">
        <v>46122</v>
      </c>
      <c r="J240" s="3">
        <v>46125</v>
      </c>
      <c r="K240" t="s">
        <v>15</v>
      </c>
      <c r="L240">
        <f t="shared" si="3"/>
        <v>24660</v>
      </c>
    </row>
    <row r="241" spans="1:12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3">
        <v>46142</v>
      </c>
      <c r="J241" s="3">
        <v>46146</v>
      </c>
      <c r="K241" t="s">
        <v>29</v>
      </c>
      <c r="L241">
        <f t="shared" si="3"/>
        <v>10950</v>
      </c>
    </row>
    <row r="242" spans="1:12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3">
        <v>46119</v>
      </c>
      <c r="J242" s="3">
        <v>46122</v>
      </c>
      <c r="K242" t="s">
        <v>15</v>
      </c>
      <c r="L242">
        <f t="shared" si="3"/>
        <v>12537</v>
      </c>
    </row>
    <row r="243" spans="1:12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3">
        <v>46191</v>
      </c>
      <c r="J243" s="3">
        <v>46196</v>
      </c>
      <c r="K243" t="s">
        <v>51</v>
      </c>
      <c r="L243">
        <f t="shared" si="3"/>
        <v>1176</v>
      </c>
    </row>
    <row r="244" spans="1:12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3">
        <v>46069</v>
      </c>
      <c r="J244" s="3">
        <v>46077</v>
      </c>
      <c r="K244" t="s">
        <v>24</v>
      </c>
      <c r="L244">
        <f t="shared" si="3"/>
        <v>57850</v>
      </c>
    </row>
    <row r="245" spans="1:12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3">
        <v>46200</v>
      </c>
      <c r="J245" s="3">
        <v>46205</v>
      </c>
      <c r="K245" t="s">
        <v>15</v>
      </c>
      <c r="L245">
        <f t="shared" si="3"/>
        <v>63390</v>
      </c>
    </row>
    <row r="246" spans="1:12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3">
        <v>46176</v>
      </c>
      <c r="J246" s="3">
        <v>46179</v>
      </c>
      <c r="K246" t="s">
        <v>29</v>
      </c>
      <c r="L246">
        <f t="shared" si="3"/>
        <v>1311551</v>
      </c>
    </row>
    <row r="247" spans="1:12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3">
        <v>46039</v>
      </c>
      <c r="J247" s="3">
        <v>46045</v>
      </c>
      <c r="K247" t="s">
        <v>51</v>
      </c>
      <c r="L247">
        <f t="shared" si="3"/>
        <v>23725</v>
      </c>
    </row>
    <row r="248" spans="1:12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3">
        <v>46173</v>
      </c>
      <c r="J248" s="3">
        <v>46175</v>
      </c>
      <c r="K248" t="s">
        <v>20</v>
      </c>
      <c r="L248">
        <f t="shared" si="3"/>
        <v>3360</v>
      </c>
    </row>
    <row r="249" spans="1:12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3">
        <v>46161</v>
      </c>
      <c r="J249" s="3">
        <v>46171</v>
      </c>
      <c r="K249" t="s">
        <v>29</v>
      </c>
      <c r="L249">
        <f t="shared" si="3"/>
        <v>1990</v>
      </c>
    </row>
    <row r="250" spans="1:12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3">
        <v>46163</v>
      </c>
      <c r="J250" s="3">
        <v>46165</v>
      </c>
      <c r="K250" t="s">
        <v>20</v>
      </c>
      <c r="L250">
        <f t="shared" si="3"/>
        <v>114480</v>
      </c>
    </row>
    <row r="251" spans="1:12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3">
        <v>46051</v>
      </c>
      <c r="J251" s="3">
        <v>46053</v>
      </c>
      <c r="K251" t="s">
        <v>29</v>
      </c>
      <c r="L251">
        <f t="shared" si="3"/>
        <v>131906</v>
      </c>
    </row>
    <row r="252" spans="1:12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3">
        <v>46112</v>
      </c>
      <c r="J252" s="3">
        <v>46121</v>
      </c>
      <c r="K252" t="s">
        <v>51</v>
      </c>
      <c r="L252">
        <f t="shared" si="3"/>
        <v>922412</v>
      </c>
    </row>
    <row r="253" spans="1:12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3">
        <v>46166</v>
      </c>
      <c r="J253" s="3">
        <v>46173</v>
      </c>
      <c r="K253" t="s">
        <v>20</v>
      </c>
      <c r="L253">
        <f t="shared" si="3"/>
        <v>3855</v>
      </c>
    </row>
    <row r="254" spans="1:12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3">
        <v>46074</v>
      </c>
      <c r="J254" s="3">
        <v>46075</v>
      </c>
      <c r="K254" t="s">
        <v>29</v>
      </c>
      <c r="L254">
        <f t="shared" si="3"/>
        <v>957600</v>
      </c>
    </row>
    <row r="255" spans="1:12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3">
        <v>46141</v>
      </c>
      <c r="J255" s="3">
        <v>46149</v>
      </c>
      <c r="K255" t="s">
        <v>24</v>
      </c>
      <c r="L255">
        <f t="shared" si="3"/>
        <v>8046</v>
      </c>
    </row>
    <row r="256" spans="1:12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3">
        <v>46091</v>
      </c>
      <c r="J256" s="3">
        <v>46095</v>
      </c>
      <c r="K256" t="s">
        <v>20</v>
      </c>
      <c r="L256">
        <f t="shared" si="3"/>
        <v>2240</v>
      </c>
    </row>
    <row r="257" spans="1:12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3">
        <v>46057</v>
      </c>
      <c r="J257" s="3">
        <v>46061</v>
      </c>
      <c r="K257" t="s">
        <v>15</v>
      </c>
      <c r="L257">
        <f t="shared" si="3"/>
        <v>7714</v>
      </c>
    </row>
    <row r="258" spans="1:12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3">
        <v>46161</v>
      </c>
      <c r="J258" s="3">
        <v>46171</v>
      </c>
      <c r="K258" t="s">
        <v>15</v>
      </c>
      <c r="L258">
        <f t="shared" si="3"/>
        <v>372701</v>
      </c>
    </row>
    <row r="259" spans="1:12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3">
        <v>46137</v>
      </c>
      <c r="J259" s="3">
        <v>46138</v>
      </c>
      <c r="K259" t="s">
        <v>29</v>
      </c>
      <c r="L259">
        <f t="shared" ref="L259:L322" si="4">F259*G259</f>
        <v>10600</v>
      </c>
    </row>
    <row r="260" spans="1:12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3">
        <v>46172</v>
      </c>
      <c r="J260" s="3">
        <v>46182</v>
      </c>
      <c r="K260" t="s">
        <v>15</v>
      </c>
      <c r="L260">
        <f t="shared" si="4"/>
        <v>387710</v>
      </c>
    </row>
    <row r="261" spans="1:12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3">
        <v>46040</v>
      </c>
      <c r="J261" s="3">
        <v>46045</v>
      </c>
      <c r="K261" t="s">
        <v>29</v>
      </c>
      <c r="L261">
        <f t="shared" si="4"/>
        <v>1044639</v>
      </c>
    </row>
    <row r="262" spans="1:12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3">
        <v>46119</v>
      </c>
      <c r="J262" s="3">
        <v>46120</v>
      </c>
      <c r="K262" t="s">
        <v>51</v>
      </c>
      <c r="L262">
        <f t="shared" si="4"/>
        <v>3240</v>
      </c>
    </row>
    <row r="263" spans="1:12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3">
        <v>46174</v>
      </c>
      <c r="J263" s="3">
        <v>46183</v>
      </c>
      <c r="K263" t="s">
        <v>15</v>
      </c>
      <c r="L263">
        <f t="shared" si="4"/>
        <v>20079</v>
      </c>
    </row>
    <row r="264" spans="1:12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3">
        <v>46130</v>
      </c>
      <c r="J264" s="3">
        <v>46138</v>
      </c>
      <c r="K264" t="s">
        <v>51</v>
      </c>
      <c r="L264">
        <f t="shared" si="4"/>
        <v>15050</v>
      </c>
    </row>
    <row r="265" spans="1:12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3">
        <v>46200</v>
      </c>
      <c r="J265" s="3">
        <v>46206</v>
      </c>
      <c r="K265" t="s">
        <v>20</v>
      </c>
      <c r="L265">
        <f t="shared" si="4"/>
        <v>95475</v>
      </c>
    </row>
    <row r="266" spans="1:12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3">
        <v>46117</v>
      </c>
      <c r="J266" s="3">
        <v>46127</v>
      </c>
      <c r="K266" t="s">
        <v>51</v>
      </c>
      <c r="L266">
        <f t="shared" si="4"/>
        <v>1052</v>
      </c>
    </row>
    <row r="267" spans="1:12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3">
        <v>46096</v>
      </c>
      <c r="J267" s="3">
        <v>46104</v>
      </c>
      <c r="K267" t="s">
        <v>51</v>
      </c>
      <c r="L267">
        <f t="shared" si="4"/>
        <v>6205</v>
      </c>
    </row>
    <row r="268" spans="1:12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3">
        <v>46129</v>
      </c>
      <c r="J268" s="3">
        <v>46138</v>
      </c>
      <c r="K268" t="s">
        <v>20</v>
      </c>
      <c r="L268">
        <f t="shared" si="4"/>
        <v>50</v>
      </c>
    </row>
    <row r="269" spans="1:12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3">
        <v>46199</v>
      </c>
      <c r="J269" s="3">
        <v>46202</v>
      </c>
      <c r="K269" t="s">
        <v>20</v>
      </c>
      <c r="L269">
        <f t="shared" si="4"/>
        <v>462910</v>
      </c>
    </row>
    <row r="270" spans="1:12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3">
        <v>46129</v>
      </c>
      <c r="J270" s="3">
        <v>46131</v>
      </c>
      <c r="K270" t="s">
        <v>15</v>
      </c>
      <c r="L270">
        <f t="shared" si="4"/>
        <v>79856</v>
      </c>
    </row>
    <row r="271" spans="1:12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3">
        <v>46135</v>
      </c>
      <c r="J271" s="3">
        <v>46141</v>
      </c>
      <c r="K271" t="s">
        <v>51</v>
      </c>
      <c r="L271">
        <f t="shared" si="4"/>
        <v>1007056</v>
      </c>
    </row>
    <row r="272" spans="1:12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3">
        <v>46083</v>
      </c>
      <c r="J272" s="3">
        <v>46085</v>
      </c>
      <c r="K272" t="s">
        <v>29</v>
      </c>
      <c r="L272">
        <f t="shared" si="4"/>
        <v>738820</v>
      </c>
    </row>
    <row r="273" spans="1:12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3">
        <v>46078</v>
      </c>
      <c r="J273" s="3">
        <v>46084</v>
      </c>
      <c r="K273" t="s">
        <v>20</v>
      </c>
      <c r="L273">
        <f t="shared" si="4"/>
        <v>548327</v>
      </c>
    </row>
    <row r="274" spans="1:12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3">
        <v>46172</v>
      </c>
      <c r="J274" s="3">
        <v>46174</v>
      </c>
      <c r="K274" t="s">
        <v>20</v>
      </c>
      <c r="L274">
        <f t="shared" si="4"/>
        <v>247416</v>
      </c>
    </row>
    <row r="275" spans="1:12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3">
        <v>46179</v>
      </c>
      <c r="J275" s="3">
        <v>46186</v>
      </c>
      <c r="K275" t="s">
        <v>20</v>
      </c>
      <c r="L275">
        <f t="shared" si="4"/>
        <v>476476</v>
      </c>
    </row>
    <row r="276" spans="1:12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3">
        <v>46092</v>
      </c>
      <c r="J276" s="3">
        <v>46094</v>
      </c>
      <c r="K276" t="s">
        <v>20</v>
      </c>
      <c r="L276">
        <f t="shared" si="4"/>
        <v>9020</v>
      </c>
    </row>
    <row r="277" spans="1:12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3">
        <v>46097</v>
      </c>
      <c r="J277" s="3">
        <v>46099</v>
      </c>
      <c r="K277" t="s">
        <v>24</v>
      </c>
      <c r="L277">
        <f t="shared" si="4"/>
        <v>13437</v>
      </c>
    </row>
    <row r="278" spans="1:12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3">
        <v>46086</v>
      </c>
      <c r="J278" s="3">
        <v>46089</v>
      </c>
      <c r="K278" t="s">
        <v>15</v>
      </c>
      <c r="L278">
        <f t="shared" si="4"/>
        <v>3864</v>
      </c>
    </row>
    <row r="279" spans="1:12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3">
        <v>46180</v>
      </c>
      <c r="J279" s="3">
        <v>46186</v>
      </c>
      <c r="K279" t="s">
        <v>20</v>
      </c>
      <c r="L279">
        <f t="shared" si="4"/>
        <v>82556</v>
      </c>
    </row>
    <row r="280" spans="1:12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3">
        <v>46124</v>
      </c>
      <c r="J280" s="3">
        <v>46126</v>
      </c>
      <c r="K280" t="s">
        <v>15</v>
      </c>
      <c r="L280">
        <f t="shared" si="4"/>
        <v>980840</v>
      </c>
    </row>
    <row r="281" spans="1:12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3">
        <v>46085</v>
      </c>
      <c r="J281" s="3">
        <v>46095</v>
      </c>
      <c r="K281" t="s">
        <v>51</v>
      </c>
      <c r="L281">
        <f t="shared" si="4"/>
        <v>450</v>
      </c>
    </row>
    <row r="282" spans="1:12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3">
        <v>46055</v>
      </c>
      <c r="J282" s="3">
        <v>46063</v>
      </c>
      <c r="K282" t="s">
        <v>24</v>
      </c>
      <c r="L282">
        <f t="shared" si="4"/>
        <v>1518</v>
      </c>
    </row>
    <row r="283" spans="1:12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3">
        <v>46176</v>
      </c>
      <c r="J283" s="3">
        <v>46177</v>
      </c>
      <c r="K283" t="s">
        <v>29</v>
      </c>
      <c r="L283">
        <f t="shared" si="4"/>
        <v>38136</v>
      </c>
    </row>
    <row r="284" spans="1:12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3">
        <v>46100</v>
      </c>
      <c r="J284" s="3">
        <v>46106</v>
      </c>
      <c r="K284" t="s">
        <v>15</v>
      </c>
      <c r="L284">
        <f t="shared" si="4"/>
        <v>7002</v>
      </c>
    </row>
    <row r="285" spans="1:12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3">
        <v>46082</v>
      </c>
      <c r="J285" s="3">
        <v>46090</v>
      </c>
      <c r="K285" t="s">
        <v>15</v>
      </c>
      <c r="L285">
        <f t="shared" si="4"/>
        <v>6704</v>
      </c>
    </row>
    <row r="286" spans="1:12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3">
        <v>46055</v>
      </c>
      <c r="J286" s="3">
        <v>46058</v>
      </c>
      <c r="K286" t="s">
        <v>20</v>
      </c>
      <c r="L286">
        <f t="shared" si="4"/>
        <v>3073</v>
      </c>
    </row>
    <row r="287" spans="1:12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3">
        <v>46168</v>
      </c>
      <c r="J287" s="3">
        <v>46173</v>
      </c>
      <c r="K287" t="s">
        <v>15</v>
      </c>
      <c r="L287">
        <f t="shared" si="4"/>
        <v>12060</v>
      </c>
    </row>
    <row r="288" spans="1:12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3">
        <v>46116</v>
      </c>
      <c r="J288" s="3">
        <v>46122</v>
      </c>
      <c r="K288" t="s">
        <v>51</v>
      </c>
      <c r="L288">
        <f t="shared" si="4"/>
        <v>3765</v>
      </c>
    </row>
    <row r="289" spans="1:12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3">
        <v>46179</v>
      </c>
      <c r="J289" s="3">
        <v>46187</v>
      </c>
      <c r="K289" t="s">
        <v>29</v>
      </c>
      <c r="L289">
        <f t="shared" si="4"/>
        <v>498414</v>
      </c>
    </row>
    <row r="290" spans="1:12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3">
        <v>46122</v>
      </c>
      <c r="J290" s="3">
        <v>46130</v>
      </c>
      <c r="K290" t="s">
        <v>24</v>
      </c>
      <c r="L290">
        <f t="shared" si="4"/>
        <v>481384</v>
      </c>
    </row>
    <row r="291" spans="1:12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3">
        <v>46110</v>
      </c>
      <c r="J291" s="3">
        <v>46111</v>
      </c>
      <c r="K291" t="s">
        <v>29</v>
      </c>
      <c r="L291">
        <f t="shared" si="4"/>
        <v>209379</v>
      </c>
    </row>
    <row r="292" spans="1:12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3">
        <v>46137</v>
      </c>
      <c r="J292" s="3">
        <v>46141</v>
      </c>
      <c r="K292" t="s">
        <v>20</v>
      </c>
      <c r="L292">
        <f t="shared" si="4"/>
        <v>7055</v>
      </c>
    </row>
    <row r="293" spans="1:12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3">
        <v>46186</v>
      </c>
      <c r="J293" s="3">
        <v>46193</v>
      </c>
      <c r="K293" t="s">
        <v>20</v>
      </c>
      <c r="L293">
        <f t="shared" si="4"/>
        <v>276738</v>
      </c>
    </row>
    <row r="294" spans="1:12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3">
        <v>46045</v>
      </c>
      <c r="J294" s="3">
        <v>46050</v>
      </c>
      <c r="K294" t="s">
        <v>20</v>
      </c>
      <c r="L294">
        <f t="shared" si="4"/>
        <v>80367</v>
      </c>
    </row>
    <row r="295" spans="1:12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3">
        <v>46181</v>
      </c>
      <c r="J295" s="3">
        <v>46189</v>
      </c>
      <c r="K295" t="s">
        <v>15</v>
      </c>
      <c r="L295">
        <f t="shared" si="4"/>
        <v>115584</v>
      </c>
    </row>
    <row r="296" spans="1:12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3">
        <v>46157</v>
      </c>
      <c r="J296" s="3">
        <v>46162</v>
      </c>
      <c r="K296" t="s">
        <v>15</v>
      </c>
      <c r="L296">
        <f t="shared" si="4"/>
        <v>190960</v>
      </c>
    </row>
    <row r="297" spans="1:12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3">
        <v>46063</v>
      </c>
      <c r="J297" s="3">
        <v>46072</v>
      </c>
      <c r="K297" t="s">
        <v>51</v>
      </c>
      <c r="L297">
        <f t="shared" si="4"/>
        <v>1206</v>
      </c>
    </row>
    <row r="298" spans="1:12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3">
        <v>46178</v>
      </c>
      <c r="J298" s="3">
        <v>46187</v>
      </c>
      <c r="K298" t="s">
        <v>29</v>
      </c>
      <c r="L298">
        <f t="shared" si="4"/>
        <v>343336</v>
      </c>
    </row>
    <row r="299" spans="1:12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3">
        <v>46083</v>
      </c>
      <c r="J299" s="3">
        <v>46093</v>
      </c>
      <c r="K299" t="s">
        <v>24</v>
      </c>
      <c r="L299">
        <f t="shared" si="4"/>
        <v>394155</v>
      </c>
    </row>
    <row r="300" spans="1:12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3">
        <v>46123</v>
      </c>
      <c r="J300" s="3">
        <v>46132</v>
      </c>
      <c r="K300" t="s">
        <v>15</v>
      </c>
      <c r="L300">
        <f t="shared" si="4"/>
        <v>70264</v>
      </c>
    </row>
    <row r="301" spans="1:12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3">
        <v>46110</v>
      </c>
      <c r="J301" s="3">
        <v>46117</v>
      </c>
      <c r="K301" t="s">
        <v>24</v>
      </c>
      <c r="L301">
        <f t="shared" si="4"/>
        <v>27840</v>
      </c>
    </row>
    <row r="302" spans="1:12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3">
        <v>46028</v>
      </c>
      <c r="J302" s="3">
        <v>46038</v>
      </c>
      <c r="K302" t="s">
        <v>24</v>
      </c>
      <c r="L302">
        <f t="shared" si="4"/>
        <v>21060</v>
      </c>
    </row>
    <row r="303" spans="1:12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3">
        <v>46163</v>
      </c>
      <c r="J303" s="3">
        <v>46172</v>
      </c>
      <c r="K303" t="s">
        <v>24</v>
      </c>
      <c r="L303">
        <f t="shared" si="4"/>
        <v>76500</v>
      </c>
    </row>
    <row r="304" spans="1:12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3">
        <v>46124</v>
      </c>
      <c r="J304" s="3">
        <v>46127</v>
      </c>
      <c r="K304" t="s">
        <v>15</v>
      </c>
      <c r="L304">
        <f t="shared" si="4"/>
        <v>67210</v>
      </c>
    </row>
    <row r="305" spans="1:12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3">
        <v>46042</v>
      </c>
      <c r="J305" s="3">
        <v>46051</v>
      </c>
      <c r="K305" t="s">
        <v>51</v>
      </c>
      <c r="L305">
        <f t="shared" si="4"/>
        <v>7360</v>
      </c>
    </row>
    <row r="306" spans="1:12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3">
        <v>46146</v>
      </c>
      <c r="J306" s="3">
        <v>46154</v>
      </c>
      <c r="K306" t="s">
        <v>51</v>
      </c>
      <c r="L306">
        <f t="shared" si="4"/>
        <v>628120</v>
      </c>
    </row>
    <row r="307" spans="1:12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3">
        <v>46191</v>
      </c>
      <c r="J307" s="3">
        <v>46194</v>
      </c>
      <c r="K307" t="s">
        <v>20</v>
      </c>
      <c r="L307">
        <f t="shared" si="4"/>
        <v>332</v>
      </c>
    </row>
    <row r="308" spans="1:12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3">
        <v>46048</v>
      </c>
      <c r="J308" s="3">
        <v>46051</v>
      </c>
      <c r="K308" t="s">
        <v>51</v>
      </c>
      <c r="L308">
        <f t="shared" si="4"/>
        <v>135738</v>
      </c>
    </row>
    <row r="309" spans="1:12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3">
        <v>46129</v>
      </c>
      <c r="J309" s="3">
        <v>46135</v>
      </c>
      <c r="K309" t="s">
        <v>20</v>
      </c>
      <c r="L309">
        <f t="shared" si="4"/>
        <v>792900</v>
      </c>
    </row>
    <row r="310" spans="1:12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3">
        <v>46197</v>
      </c>
      <c r="J310" s="3">
        <v>46198</v>
      </c>
      <c r="K310" t="s">
        <v>24</v>
      </c>
      <c r="L310">
        <f t="shared" si="4"/>
        <v>70</v>
      </c>
    </row>
    <row r="311" spans="1:12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3">
        <v>46181</v>
      </c>
      <c r="J311" s="3">
        <v>46189</v>
      </c>
      <c r="K311" t="s">
        <v>29</v>
      </c>
      <c r="L311">
        <f t="shared" si="4"/>
        <v>241129</v>
      </c>
    </row>
    <row r="312" spans="1:12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3">
        <v>46173</v>
      </c>
      <c r="J312" s="3">
        <v>46176</v>
      </c>
      <c r="K312" t="s">
        <v>20</v>
      </c>
      <c r="L312">
        <f t="shared" si="4"/>
        <v>418</v>
      </c>
    </row>
    <row r="313" spans="1:12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3">
        <v>46148</v>
      </c>
      <c r="J313" s="3">
        <v>46156</v>
      </c>
      <c r="K313" t="s">
        <v>24</v>
      </c>
      <c r="L313">
        <f t="shared" si="4"/>
        <v>65480</v>
      </c>
    </row>
    <row r="314" spans="1:12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3">
        <v>46041</v>
      </c>
      <c r="J314" s="3">
        <v>46049</v>
      </c>
      <c r="K314" t="s">
        <v>15</v>
      </c>
      <c r="L314">
        <f t="shared" si="4"/>
        <v>65184</v>
      </c>
    </row>
    <row r="315" spans="1:12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3">
        <v>46196</v>
      </c>
      <c r="J315" s="3">
        <v>46197</v>
      </c>
      <c r="K315" t="s">
        <v>29</v>
      </c>
      <c r="L315">
        <f t="shared" si="4"/>
        <v>63280</v>
      </c>
    </row>
    <row r="316" spans="1:12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3">
        <v>46186</v>
      </c>
      <c r="J316" s="3">
        <v>46196</v>
      </c>
      <c r="K316" t="s">
        <v>15</v>
      </c>
      <c r="L316">
        <f t="shared" si="4"/>
        <v>807380</v>
      </c>
    </row>
    <row r="317" spans="1:12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3">
        <v>46078</v>
      </c>
      <c r="J317" s="3">
        <v>46085</v>
      </c>
      <c r="K317" t="s">
        <v>20</v>
      </c>
      <c r="L317">
        <f t="shared" si="4"/>
        <v>68866</v>
      </c>
    </row>
    <row r="318" spans="1:12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3">
        <v>46159</v>
      </c>
      <c r="J318" s="3">
        <v>46169</v>
      </c>
      <c r="K318" t="s">
        <v>51</v>
      </c>
      <c r="L318">
        <f t="shared" si="4"/>
        <v>471373</v>
      </c>
    </row>
    <row r="319" spans="1:12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3">
        <v>46169</v>
      </c>
      <c r="J319" s="3">
        <v>46175</v>
      </c>
      <c r="K319" t="s">
        <v>29</v>
      </c>
      <c r="L319">
        <f t="shared" si="4"/>
        <v>152</v>
      </c>
    </row>
    <row r="320" spans="1:12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3">
        <v>46094</v>
      </c>
      <c r="J320" s="3">
        <v>46102</v>
      </c>
      <c r="K320" t="s">
        <v>15</v>
      </c>
      <c r="L320">
        <f t="shared" si="4"/>
        <v>992919</v>
      </c>
    </row>
    <row r="321" spans="1:12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3">
        <v>46183</v>
      </c>
      <c r="J321" s="3">
        <v>46186</v>
      </c>
      <c r="K321" t="s">
        <v>20</v>
      </c>
      <c r="L321">
        <f t="shared" si="4"/>
        <v>1100</v>
      </c>
    </row>
    <row r="322" spans="1:12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3">
        <v>46107</v>
      </c>
      <c r="J322" s="3">
        <v>46109</v>
      </c>
      <c r="K322" t="s">
        <v>51</v>
      </c>
      <c r="L322">
        <f t="shared" si="4"/>
        <v>44952</v>
      </c>
    </row>
    <row r="323" spans="1:12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3">
        <v>46141</v>
      </c>
      <c r="J323" s="3">
        <v>46146</v>
      </c>
      <c r="K323" t="s">
        <v>15</v>
      </c>
      <c r="L323">
        <f t="shared" ref="L323:L386" si="5">F323*G323</f>
        <v>127134</v>
      </c>
    </row>
    <row r="324" spans="1:12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3">
        <v>46073</v>
      </c>
      <c r="J324" s="3">
        <v>46078</v>
      </c>
      <c r="K324" t="s">
        <v>15</v>
      </c>
      <c r="L324">
        <f t="shared" si="5"/>
        <v>64148</v>
      </c>
    </row>
    <row r="325" spans="1:12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3">
        <v>46053</v>
      </c>
      <c r="J325" s="3">
        <v>46056</v>
      </c>
      <c r="K325" t="s">
        <v>20</v>
      </c>
      <c r="L325">
        <f t="shared" si="5"/>
        <v>4286</v>
      </c>
    </row>
    <row r="326" spans="1:12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3">
        <v>46076</v>
      </c>
      <c r="J326" s="3">
        <v>46085</v>
      </c>
      <c r="K326" t="s">
        <v>20</v>
      </c>
      <c r="L326">
        <f t="shared" si="5"/>
        <v>525978</v>
      </c>
    </row>
    <row r="327" spans="1:12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3">
        <v>46165</v>
      </c>
      <c r="J327" s="3">
        <v>46172</v>
      </c>
      <c r="K327" t="s">
        <v>15</v>
      </c>
      <c r="L327">
        <f t="shared" si="5"/>
        <v>32940</v>
      </c>
    </row>
    <row r="328" spans="1:12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3">
        <v>46152</v>
      </c>
      <c r="J328" s="3">
        <v>46153</v>
      </c>
      <c r="K328" t="s">
        <v>15</v>
      </c>
      <c r="L328">
        <f t="shared" si="5"/>
        <v>6735</v>
      </c>
    </row>
    <row r="329" spans="1:12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3">
        <v>46109</v>
      </c>
      <c r="J329" s="3">
        <v>46114</v>
      </c>
      <c r="K329" t="s">
        <v>29</v>
      </c>
      <c r="L329">
        <f t="shared" si="5"/>
        <v>528</v>
      </c>
    </row>
    <row r="330" spans="1:12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3">
        <v>46126</v>
      </c>
      <c r="J330" s="3">
        <v>46136</v>
      </c>
      <c r="K330" t="s">
        <v>29</v>
      </c>
      <c r="L330">
        <f t="shared" si="5"/>
        <v>4086</v>
      </c>
    </row>
    <row r="331" spans="1:12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3">
        <v>46032</v>
      </c>
      <c r="J331" s="3">
        <v>46036</v>
      </c>
      <c r="K331" t="s">
        <v>51</v>
      </c>
      <c r="L331">
        <f t="shared" si="5"/>
        <v>156923</v>
      </c>
    </row>
    <row r="332" spans="1:12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3">
        <v>46190</v>
      </c>
      <c r="J332" s="3">
        <v>46200</v>
      </c>
      <c r="K332" t="s">
        <v>15</v>
      </c>
      <c r="L332">
        <f t="shared" si="5"/>
        <v>87114</v>
      </c>
    </row>
    <row r="333" spans="1:12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3">
        <v>46154</v>
      </c>
      <c r="J333" s="3">
        <v>46157</v>
      </c>
      <c r="K333" t="s">
        <v>15</v>
      </c>
      <c r="L333">
        <f t="shared" si="5"/>
        <v>3073</v>
      </c>
    </row>
    <row r="334" spans="1:12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3">
        <v>46145</v>
      </c>
      <c r="J334" s="3">
        <v>46146</v>
      </c>
      <c r="K334" t="s">
        <v>51</v>
      </c>
      <c r="L334">
        <f t="shared" si="5"/>
        <v>8320</v>
      </c>
    </row>
    <row r="335" spans="1:12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3">
        <v>46038</v>
      </c>
      <c r="J335" s="3">
        <v>46047</v>
      </c>
      <c r="K335" t="s">
        <v>51</v>
      </c>
      <c r="L335">
        <f t="shared" si="5"/>
        <v>597795</v>
      </c>
    </row>
    <row r="336" spans="1:12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3">
        <v>46168</v>
      </c>
      <c r="J336" s="3">
        <v>46173</v>
      </c>
      <c r="K336" t="s">
        <v>15</v>
      </c>
      <c r="L336">
        <f t="shared" si="5"/>
        <v>13455</v>
      </c>
    </row>
    <row r="337" spans="1:12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3">
        <v>46086</v>
      </c>
      <c r="J337" s="3">
        <v>46092</v>
      </c>
      <c r="K337" t="s">
        <v>29</v>
      </c>
      <c r="L337">
        <f t="shared" si="5"/>
        <v>56240</v>
      </c>
    </row>
    <row r="338" spans="1:12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3">
        <v>46074</v>
      </c>
      <c r="J338" s="3">
        <v>46080</v>
      </c>
      <c r="K338" t="s">
        <v>29</v>
      </c>
      <c r="L338">
        <f t="shared" si="5"/>
        <v>5222</v>
      </c>
    </row>
    <row r="339" spans="1:12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3">
        <v>46177</v>
      </c>
      <c r="J339" s="3">
        <v>46179</v>
      </c>
      <c r="K339" t="s">
        <v>15</v>
      </c>
      <c r="L339">
        <f t="shared" si="5"/>
        <v>167190</v>
      </c>
    </row>
    <row r="340" spans="1:12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3">
        <v>46142</v>
      </c>
      <c r="J340" s="3">
        <v>46148</v>
      </c>
      <c r="K340" t="s">
        <v>20</v>
      </c>
      <c r="L340">
        <f t="shared" si="5"/>
        <v>1812</v>
      </c>
    </row>
    <row r="341" spans="1:12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3">
        <v>46196</v>
      </c>
      <c r="J341" s="3">
        <v>46198</v>
      </c>
      <c r="K341" t="s">
        <v>51</v>
      </c>
      <c r="L341">
        <f t="shared" si="5"/>
        <v>46284</v>
      </c>
    </row>
    <row r="342" spans="1:12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3">
        <v>46026</v>
      </c>
      <c r="J342" s="3">
        <v>46030</v>
      </c>
      <c r="K342" t="s">
        <v>20</v>
      </c>
      <c r="L342">
        <f t="shared" si="5"/>
        <v>123272</v>
      </c>
    </row>
    <row r="343" spans="1:12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3">
        <v>46132</v>
      </c>
      <c r="J343" s="3">
        <v>46139</v>
      </c>
      <c r="K343" t="s">
        <v>29</v>
      </c>
      <c r="L343">
        <f t="shared" si="5"/>
        <v>622453</v>
      </c>
    </row>
    <row r="344" spans="1:12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3">
        <v>46174</v>
      </c>
      <c r="J344" s="3">
        <v>46179</v>
      </c>
      <c r="K344" t="s">
        <v>15</v>
      </c>
      <c r="L344">
        <f t="shared" si="5"/>
        <v>458066</v>
      </c>
    </row>
    <row r="345" spans="1:12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3">
        <v>46155</v>
      </c>
      <c r="J345" s="3">
        <v>46156</v>
      </c>
      <c r="K345" t="s">
        <v>24</v>
      </c>
      <c r="L345">
        <f t="shared" si="5"/>
        <v>4320</v>
      </c>
    </row>
    <row r="346" spans="1:12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3">
        <v>46095</v>
      </c>
      <c r="J346" s="3">
        <v>46097</v>
      </c>
      <c r="K346" t="s">
        <v>29</v>
      </c>
      <c r="L346">
        <f t="shared" si="5"/>
        <v>606528</v>
      </c>
    </row>
    <row r="347" spans="1:12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3">
        <v>46140</v>
      </c>
      <c r="J347" s="3">
        <v>46142</v>
      </c>
      <c r="K347" t="s">
        <v>29</v>
      </c>
      <c r="L347">
        <f t="shared" si="5"/>
        <v>110560</v>
      </c>
    </row>
    <row r="348" spans="1:12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3">
        <v>46037</v>
      </c>
      <c r="J348" s="3">
        <v>46044</v>
      </c>
      <c r="K348" t="s">
        <v>24</v>
      </c>
      <c r="L348">
        <f t="shared" si="5"/>
        <v>96544</v>
      </c>
    </row>
    <row r="349" spans="1:12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3">
        <v>46048</v>
      </c>
      <c r="J349" s="3">
        <v>46053</v>
      </c>
      <c r="K349" t="s">
        <v>15</v>
      </c>
      <c r="L349">
        <f t="shared" si="5"/>
        <v>2928</v>
      </c>
    </row>
    <row r="350" spans="1:12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3">
        <v>46079</v>
      </c>
      <c r="J350" s="3">
        <v>46083</v>
      </c>
      <c r="K350" t="s">
        <v>20</v>
      </c>
      <c r="L350">
        <f t="shared" si="5"/>
        <v>1254420</v>
      </c>
    </row>
    <row r="351" spans="1:12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3">
        <v>46185</v>
      </c>
      <c r="J351" s="3">
        <v>46190</v>
      </c>
      <c r="K351" t="s">
        <v>29</v>
      </c>
      <c r="L351">
        <f t="shared" si="5"/>
        <v>188640</v>
      </c>
    </row>
    <row r="352" spans="1:12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3">
        <v>46026</v>
      </c>
      <c r="J352" s="3">
        <v>46029</v>
      </c>
      <c r="K352" t="s">
        <v>15</v>
      </c>
      <c r="L352">
        <f t="shared" si="5"/>
        <v>15264</v>
      </c>
    </row>
    <row r="353" spans="1:12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3">
        <v>46024</v>
      </c>
      <c r="J353" s="3">
        <v>46033</v>
      </c>
      <c r="K353" t="s">
        <v>15</v>
      </c>
      <c r="L353">
        <f t="shared" si="5"/>
        <v>2436</v>
      </c>
    </row>
    <row r="354" spans="1:12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3">
        <v>46194</v>
      </c>
      <c r="J354" s="3">
        <v>46200</v>
      </c>
      <c r="K354" t="s">
        <v>24</v>
      </c>
      <c r="L354">
        <f t="shared" si="5"/>
        <v>2970</v>
      </c>
    </row>
    <row r="355" spans="1:12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3">
        <v>46118</v>
      </c>
      <c r="J355" s="3">
        <v>46120</v>
      </c>
      <c r="K355" t="s">
        <v>51</v>
      </c>
      <c r="L355">
        <f t="shared" si="5"/>
        <v>223905</v>
      </c>
    </row>
    <row r="356" spans="1:12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3">
        <v>46024</v>
      </c>
      <c r="J356" s="3">
        <v>46031</v>
      </c>
      <c r="K356" t="s">
        <v>51</v>
      </c>
      <c r="L356">
        <f t="shared" si="5"/>
        <v>647946</v>
      </c>
    </row>
    <row r="357" spans="1:12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3">
        <v>46201</v>
      </c>
      <c r="J357" s="3">
        <v>46204</v>
      </c>
      <c r="K357" t="s">
        <v>15</v>
      </c>
      <c r="L357">
        <f t="shared" si="5"/>
        <v>855312</v>
      </c>
    </row>
    <row r="358" spans="1:12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3">
        <v>46133</v>
      </c>
      <c r="J358" s="3">
        <v>46140</v>
      </c>
      <c r="K358" t="s">
        <v>51</v>
      </c>
      <c r="L358">
        <f t="shared" si="5"/>
        <v>2190</v>
      </c>
    </row>
    <row r="359" spans="1:12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3">
        <v>46127</v>
      </c>
      <c r="J359" s="3">
        <v>46129</v>
      </c>
      <c r="K359" t="s">
        <v>20</v>
      </c>
      <c r="L359">
        <f t="shared" si="5"/>
        <v>46326</v>
      </c>
    </row>
    <row r="360" spans="1:12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3">
        <v>46096</v>
      </c>
      <c r="J360" s="3">
        <v>46099</v>
      </c>
      <c r="K360" t="s">
        <v>15</v>
      </c>
      <c r="L360">
        <f t="shared" si="5"/>
        <v>343611</v>
      </c>
    </row>
    <row r="361" spans="1:12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3">
        <v>46146</v>
      </c>
      <c r="J361" s="3">
        <v>46150</v>
      </c>
      <c r="K361" t="s">
        <v>15</v>
      </c>
      <c r="L361">
        <f t="shared" si="5"/>
        <v>126939</v>
      </c>
    </row>
    <row r="362" spans="1:12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3">
        <v>46141</v>
      </c>
      <c r="J362" s="3">
        <v>46145</v>
      </c>
      <c r="K362" t="s">
        <v>20</v>
      </c>
      <c r="L362">
        <f t="shared" si="5"/>
        <v>3644</v>
      </c>
    </row>
    <row r="363" spans="1:12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3">
        <v>46094</v>
      </c>
      <c r="J363" s="3">
        <v>46096</v>
      </c>
      <c r="K363" t="s">
        <v>29</v>
      </c>
      <c r="L363">
        <f t="shared" si="5"/>
        <v>10474</v>
      </c>
    </row>
    <row r="364" spans="1:12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3">
        <v>46122</v>
      </c>
      <c r="J364" s="3">
        <v>46128</v>
      </c>
      <c r="K364" t="s">
        <v>15</v>
      </c>
      <c r="L364">
        <f t="shared" si="5"/>
        <v>317667</v>
      </c>
    </row>
    <row r="365" spans="1:12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3">
        <v>46031</v>
      </c>
      <c r="J365" s="3">
        <v>46033</v>
      </c>
      <c r="K365" t="s">
        <v>51</v>
      </c>
      <c r="L365">
        <f t="shared" si="5"/>
        <v>27904</v>
      </c>
    </row>
    <row r="366" spans="1:12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3">
        <v>46070</v>
      </c>
      <c r="J366" s="3">
        <v>46072</v>
      </c>
      <c r="K366" t="s">
        <v>20</v>
      </c>
      <c r="L366">
        <f t="shared" si="5"/>
        <v>2023</v>
      </c>
    </row>
    <row r="367" spans="1:12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3">
        <v>46047</v>
      </c>
      <c r="J367" s="3">
        <v>46054</v>
      </c>
      <c r="K367" t="s">
        <v>29</v>
      </c>
      <c r="L367">
        <f t="shared" si="5"/>
        <v>886240</v>
      </c>
    </row>
    <row r="368" spans="1:12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3">
        <v>46158</v>
      </c>
      <c r="J368" s="3">
        <v>46168</v>
      </c>
      <c r="K368" t="s">
        <v>29</v>
      </c>
      <c r="L368">
        <f t="shared" si="5"/>
        <v>371</v>
      </c>
    </row>
    <row r="369" spans="1:12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3">
        <v>46036</v>
      </c>
      <c r="J369" s="3">
        <v>46045</v>
      </c>
      <c r="K369" t="s">
        <v>24</v>
      </c>
      <c r="L369">
        <f t="shared" si="5"/>
        <v>1035</v>
      </c>
    </row>
    <row r="370" spans="1:12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3">
        <v>46062</v>
      </c>
      <c r="J370" s="3">
        <v>46067</v>
      </c>
      <c r="K370" t="s">
        <v>15</v>
      </c>
      <c r="L370">
        <f t="shared" si="5"/>
        <v>110960</v>
      </c>
    </row>
    <row r="371" spans="1:12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3">
        <v>46184</v>
      </c>
      <c r="J371" s="3">
        <v>46188</v>
      </c>
      <c r="K371" t="s">
        <v>15</v>
      </c>
      <c r="L371">
        <f t="shared" si="5"/>
        <v>4381</v>
      </c>
    </row>
    <row r="372" spans="1:12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3">
        <v>46072</v>
      </c>
      <c r="J372" s="3">
        <v>46082</v>
      </c>
      <c r="K372" t="s">
        <v>20</v>
      </c>
      <c r="L372">
        <f t="shared" si="5"/>
        <v>20653</v>
      </c>
    </row>
    <row r="373" spans="1:12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3">
        <v>46161</v>
      </c>
      <c r="J373" s="3">
        <v>46168</v>
      </c>
      <c r="K373" t="s">
        <v>15</v>
      </c>
      <c r="L373">
        <f t="shared" si="5"/>
        <v>85959</v>
      </c>
    </row>
    <row r="374" spans="1:12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3">
        <v>46191</v>
      </c>
      <c r="J374" s="3">
        <v>46201</v>
      </c>
      <c r="K374" t="s">
        <v>20</v>
      </c>
      <c r="L374">
        <f t="shared" si="5"/>
        <v>527230</v>
      </c>
    </row>
    <row r="375" spans="1:12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3">
        <v>46063</v>
      </c>
      <c r="J375" s="3">
        <v>46066</v>
      </c>
      <c r="K375" t="s">
        <v>51</v>
      </c>
      <c r="L375">
        <f t="shared" si="5"/>
        <v>792624</v>
      </c>
    </row>
    <row r="376" spans="1:12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3">
        <v>46052</v>
      </c>
      <c r="J376" s="3">
        <v>46061</v>
      </c>
      <c r="K376" t="s">
        <v>24</v>
      </c>
      <c r="L376">
        <f t="shared" si="5"/>
        <v>1135320</v>
      </c>
    </row>
    <row r="377" spans="1:12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3">
        <v>46178</v>
      </c>
      <c r="J377" s="3">
        <v>46184</v>
      </c>
      <c r="K377" t="s">
        <v>20</v>
      </c>
      <c r="L377">
        <f t="shared" si="5"/>
        <v>8580</v>
      </c>
    </row>
    <row r="378" spans="1:12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3">
        <v>46105</v>
      </c>
      <c r="J378" s="3">
        <v>46111</v>
      </c>
      <c r="K378" t="s">
        <v>24</v>
      </c>
      <c r="L378">
        <f t="shared" si="5"/>
        <v>16440</v>
      </c>
    </row>
    <row r="379" spans="1:12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3">
        <v>46074</v>
      </c>
      <c r="J379" s="3">
        <v>46080</v>
      </c>
      <c r="K379" t="s">
        <v>51</v>
      </c>
      <c r="L379">
        <f t="shared" si="5"/>
        <v>340395</v>
      </c>
    </row>
    <row r="380" spans="1:12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3">
        <v>46106</v>
      </c>
      <c r="J380" s="3">
        <v>46107</v>
      </c>
      <c r="K380" t="s">
        <v>20</v>
      </c>
      <c r="L380">
        <f t="shared" si="5"/>
        <v>1496</v>
      </c>
    </row>
    <row r="381" spans="1:12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3">
        <v>46128</v>
      </c>
      <c r="J381" s="3">
        <v>46138</v>
      </c>
      <c r="K381" t="s">
        <v>24</v>
      </c>
      <c r="L381">
        <f t="shared" si="5"/>
        <v>1236</v>
      </c>
    </row>
    <row r="382" spans="1:12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3">
        <v>46089</v>
      </c>
      <c r="J382" s="3">
        <v>46093</v>
      </c>
      <c r="K382" t="s">
        <v>20</v>
      </c>
      <c r="L382">
        <f t="shared" si="5"/>
        <v>37420</v>
      </c>
    </row>
    <row r="383" spans="1:12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3">
        <v>46130</v>
      </c>
      <c r="J383" s="3">
        <v>46134</v>
      </c>
      <c r="K383" t="s">
        <v>15</v>
      </c>
      <c r="L383">
        <f t="shared" si="5"/>
        <v>398178</v>
      </c>
    </row>
    <row r="384" spans="1:12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3">
        <v>46196</v>
      </c>
      <c r="J384" s="3">
        <v>46203</v>
      </c>
      <c r="K384" t="s">
        <v>15</v>
      </c>
      <c r="L384">
        <f t="shared" si="5"/>
        <v>4676</v>
      </c>
    </row>
    <row r="385" spans="1:12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3">
        <v>46074</v>
      </c>
      <c r="J385" s="3">
        <v>46078</v>
      </c>
      <c r="K385" t="s">
        <v>29</v>
      </c>
      <c r="L385">
        <f t="shared" si="5"/>
        <v>571740</v>
      </c>
    </row>
    <row r="386" spans="1:12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3">
        <v>46048</v>
      </c>
      <c r="J386" s="3">
        <v>46053</v>
      </c>
      <c r="K386" t="s">
        <v>51</v>
      </c>
      <c r="L386">
        <f t="shared" si="5"/>
        <v>736320</v>
      </c>
    </row>
    <row r="387" spans="1:12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3">
        <v>46162</v>
      </c>
      <c r="J387" s="3">
        <v>46171</v>
      </c>
      <c r="K387" t="s">
        <v>51</v>
      </c>
      <c r="L387">
        <f t="shared" ref="L387:L401" si="6">F387*G387</f>
        <v>67581</v>
      </c>
    </row>
    <row r="388" spans="1:12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3">
        <v>46102</v>
      </c>
      <c r="J388" s="3">
        <v>46112</v>
      </c>
      <c r="K388" t="s">
        <v>24</v>
      </c>
      <c r="L388">
        <f t="shared" si="6"/>
        <v>621665</v>
      </c>
    </row>
    <row r="389" spans="1:12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3">
        <v>46094</v>
      </c>
      <c r="J389" s="3">
        <v>46096</v>
      </c>
      <c r="K389" t="s">
        <v>20</v>
      </c>
      <c r="L389">
        <f t="shared" si="6"/>
        <v>139944</v>
      </c>
    </row>
    <row r="390" spans="1:12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3">
        <v>46044</v>
      </c>
      <c r="J390" s="3">
        <v>46048</v>
      </c>
      <c r="K390" t="s">
        <v>51</v>
      </c>
      <c r="L390">
        <f t="shared" si="6"/>
        <v>169140</v>
      </c>
    </row>
    <row r="391" spans="1:12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3">
        <v>46076</v>
      </c>
      <c r="J391" s="3">
        <v>46081</v>
      </c>
      <c r="K391" t="s">
        <v>51</v>
      </c>
      <c r="L391">
        <f t="shared" si="6"/>
        <v>69030</v>
      </c>
    </row>
    <row r="392" spans="1:12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3">
        <v>46100</v>
      </c>
      <c r="J392" s="3">
        <v>46103</v>
      </c>
      <c r="K392" t="s">
        <v>24</v>
      </c>
      <c r="L392">
        <f t="shared" si="6"/>
        <v>326350</v>
      </c>
    </row>
    <row r="393" spans="1:12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3">
        <v>46124</v>
      </c>
      <c r="J393" s="3">
        <v>46125</v>
      </c>
      <c r="K393" t="s">
        <v>29</v>
      </c>
      <c r="L393">
        <f t="shared" si="6"/>
        <v>310739</v>
      </c>
    </row>
    <row r="394" spans="1:12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3">
        <v>46047</v>
      </c>
      <c r="J394" s="3">
        <v>46051</v>
      </c>
      <c r="K394" t="s">
        <v>51</v>
      </c>
      <c r="L394">
        <f t="shared" si="6"/>
        <v>515967</v>
      </c>
    </row>
    <row r="395" spans="1:12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3">
        <v>46056</v>
      </c>
      <c r="J395" s="3">
        <v>46057</v>
      </c>
      <c r="K395" t="s">
        <v>15</v>
      </c>
      <c r="L395">
        <f t="shared" si="6"/>
        <v>1380</v>
      </c>
    </row>
    <row r="396" spans="1:12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3">
        <v>46062</v>
      </c>
      <c r="J396" s="3">
        <v>46067</v>
      </c>
      <c r="K396" t="s">
        <v>29</v>
      </c>
      <c r="L396">
        <f t="shared" si="6"/>
        <v>187236</v>
      </c>
    </row>
    <row r="397" spans="1:12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3">
        <v>46031</v>
      </c>
      <c r="J397" s="3">
        <v>46035</v>
      </c>
      <c r="K397" t="s">
        <v>15</v>
      </c>
      <c r="L397">
        <f t="shared" si="6"/>
        <v>432</v>
      </c>
    </row>
    <row r="398" spans="1:12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3">
        <v>46194</v>
      </c>
      <c r="J398" s="3">
        <v>46201</v>
      </c>
      <c r="K398" t="s">
        <v>51</v>
      </c>
      <c r="L398">
        <f t="shared" si="6"/>
        <v>8948</v>
      </c>
    </row>
    <row r="399" spans="1:12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3">
        <v>46170</v>
      </c>
      <c r="J399" s="3">
        <v>46176</v>
      </c>
      <c r="K399" t="s">
        <v>15</v>
      </c>
      <c r="L399">
        <f t="shared" si="6"/>
        <v>128016</v>
      </c>
    </row>
    <row r="400" spans="1:12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3">
        <v>46089</v>
      </c>
      <c r="J400" s="3">
        <v>46093</v>
      </c>
      <c r="K400" t="s">
        <v>20</v>
      </c>
      <c r="L400">
        <f t="shared" si="6"/>
        <v>1305</v>
      </c>
    </row>
    <row r="401" spans="1:12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3">
        <v>46090</v>
      </c>
      <c r="J401" s="3">
        <v>46092</v>
      </c>
      <c r="K401" t="s">
        <v>20</v>
      </c>
      <c r="L401">
        <f t="shared" si="6"/>
        <v>681343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81B3-D665-46B4-934E-0DD898DDD8EB}">
  <dimension ref="A1:M401"/>
  <sheetViews>
    <sheetView tabSelected="1" workbookViewId="0">
      <selection activeCell="O7" sqref="O7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ht="24.6" x14ac:dyDescent="0.4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3">
        <v>46081</v>
      </c>
      <c r="J2" s="3">
        <v>46083</v>
      </c>
      <c r="K2" t="s">
        <v>15</v>
      </c>
      <c r="L2" s="13" t="str">
        <f>INDEX(B2:B400, MATCH(MAX('Q13'!L2:L401), 'Q13'!L2:L401, 0))</f>
        <v>Sneha</v>
      </c>
      <c r="M2" s="13"/>
    </row>
    <row r="3" spans="1:13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3">
        <v>46174</v>
      </c>
      <c r="J3" s="3">
        <v>46179</v>
      </c>
      <c r="K3" t="s">
        <v>20</v>
      </c>
    </row>
    <row r="4" spans="1:13" ht="24.6" x14ac:dyDescent="0.4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3">
        <v>46183</v>
      </c>
      <c r="J4" s="3">
        <v>46192</v>
      </c>
      <c r="K4" t="s">
        <v>24</v>
      </c>
      <c r="L4" s="13" t="str">
        <f>_xlfn.XLOOKUP(MAX('Q13'!L2:L402), 'Q13'!L2:L401, 'Q14'!C2:C401)</f>
        <v>Pune</v>
      </c>
      <c r="M4" s="13"/>
    </row>
    <row r="5" spans="1:13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3">
        <v>46034</v>
      </c>
      <c r="J5" s="3">
        <v>46040</v>
      </c>
      <c r="K5" t="s">
        <v>20</v>
      </c>
    </row>
    <row r="6" spans="1:13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3">
        <v>46171</v>
      </c>
      <c r="J6" s="3">
        <v>46179</v>
      </c>
      <c r="K6" t="s">
        <v>24</v>
      </c>
    </row>
    <row r="7" spans="1:13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3">
        <v>46055</v>
      </c>
      <c r="J7" s="3">
        <v>46062</v>
      </c>
      <c r="K7" t="s">
        <v>29</v>
      </c>
    </row>
    <row r="8" spans="1:13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3">
        <v>46162</v>
      </c>
      <c r="J8" s="3">
        <v>46168</v>
      </c>
      <c r="K8" t="s">
        <v>24</v>
      </c>
    </row>
    <row r="9" spans="1:13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3">
        <v>46033</v>
      </c>
      <c r="J9" s="3">
        <v>46041</v>
      </c>
      <c r="K9" t="s">
        <v>24</v>
      </c>
    </row>
    <row r="10" spans="1:13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3">
        <v>46183</v>
      </c>
      <c r="J10" s="3">
        <v>46193</v>
      </c>
      <c r="K10" t="s">
        <v>24</v>
      </c>
    </row>
    <row r="11" spans="1:13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3">
        <v>46062</v>
      </c>
      <c r="J11" s="3">
        <v>46068</v>
      </c>
      <c r="K11" t="s">
        <v>15</v>
      </c>
    </row>
    <row r="12" spans="1:13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3">
        <v>46161</v>
      </c>
      <c r="J12" s="3">
        <v>46163</v>
      </c>
      <c r="K12" t="s">
        <v>15</v>
      </c>
    </row>
    <row r="13" spans="1:13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3">
        <v>46086</v>
      </c>
      <c r="J13" s="3">
        <v>46095</v>
      </c>
      <c r="K13" t="s">
        <v>29</v>
      </c>
    </row>
    <row r="14" spans="1:13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3">
        <v>46095</v>
      </c>
      <c r="J14" s="3">
        <v>46105</v>
      </c>
      <c r="K14" t="s">
        <v>29</v>
      </c>
    </row>
    <row r="15" spans="1:13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3">
        <v>46129</v>
      </c>
      <c r="J15" s="3">
        <v>46134</v>
      </c>
      <c r="K15" t="s">
        <v>29</v>
      </c>
    </row>
    <row r="16" spans="1:13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3">
        <v>46175</v>
      </c>
      <c r="J16" s="3">
        <v>46185</v>
      </c>
      <c r="K16" t="s">
        <v>20</v>
      </c>
    </row>
    <row r="17" spans="1:1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3">
        <v>46137</v>
      </c>
      <c r="J17" s="3">
        <v>46140</v>
      </c>
      <c r="K17" t="s">
        <v>24</v>
      </c>
    </row>
    <row r="18" spans="1:1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3">
        <v>46082</v>
      </c>
      <c r="J18" s="3">
        <v>46084</v>
      </c>
      <c r="K18" t="s">
        <v>15</v>
      </c>
    </row>
    <row r="19" spans="1:1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3">
        <v>46089</v>
      </c>
      <c r="J19" s="3">
        <v>46094</v>
      </c>
      <c r="K19" t="s">
        <v>29</v>
      </c>
    </row>
    <row r="20" spans="1:1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3">
        <v>46023</v>
      </c>
      <c r="J20" s="3">
        <v>46030</v>
      </c>
      <c r="K20" t="s">
        <v>20</v>
      </c>
    </row>
    <row r="21" spans="1:1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3">
        <v>46078</v>
      </c>
      <c r="J21" s="3">
        <v>46083</v>
      </c>
      <c r="K21" t="s">
        <v>15</v>
      </c>
    </row>
    <row r="22" spans="1:1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3">
        <v>46144</v>
      </c>
      <c r="J22" s="3">
        <v>46148</v>
      </c>
      <c r="K22" t="s">
        <v>24</v>
      </c>
    </row>
    <row r="23" spans="1:1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3">
        <v>46117</v>
      </c>
      <c r="J23" s="3">
        <v>46121</v>
      </c>
      <c r="K23" t="s">
        <v>29</v>
      </c>
    </row>
    <row r="24" spans="1:1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3">
        <v>46193</v>
      </c>
      <c r="J24" s="3">
        <v>46194</v>
      </c>
      <c r="K24" t="s">
        <v>29</v>
      </c>
    </row>
    <row r="25" spans="1:1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3">
        <v>46161</v>
      </c>
      <c r="J25" s="3">
        <v>46165</v>
      </c>
      <c r="K25" t="s">
        <v>15</v>
      </c>
    </row>
    <row r="26" spans="1:1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3">
        <v>46175</v>
      </c>
      <c r="J26" s="3">
        <v>46181</v>
      </c>
      <c r="K26" t="s">
        <v>15</v>
      </c>
    </row>
    <row r="27" spans="1:1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3">
        <v>46039</v>
      </c>
      <c r="J27" s="3">
        <v>46040</v>
      </c>
      <c r="K27" t="s">
        <v>29</v>
      </c>
    </row>
    <row r="28" spans="1:1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3">
        <v>46155</v>
      </c>
      <c r="J28" s="3">
        <v>46161</v>
      </c>
      <c r="K28" t="s">
        <v>51</v>
      </c>
    </row>
    <row r="29" spans="1:1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3">
        <v>46116</v>
      </c>
      <c r="J29" s="3">
        <v>46121</v>
      </c>
      <c r="K29" t="s">
        <v>24</v>
      </c>
    </row>
    <row r="30" spans="1:1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3">
        <v>46046</v>
      </c>
      <c r="J30" s="3">
        <v>46054</v>
      </c>
      <c r="K30" t="s">
        <v>24</v>
      </c>
    </row>
    <row r="31" spans="1:1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3">
        <v>46098</v>
      </c>
      <c r="J31" s="3">
        <v>46108</v>
      </c>
      <c r="K31" t="s">
        <v>15</v>
      </c>
    </row>
    <row r="32" spans="1:1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3">
        <v>46089</v>
      </c>
      <c r="J32" s="3">
        <v>46093</v>
      </c>
      <c r="K32" t="s">
        <v>20</v>
      </c>
    </row>
    <row r="33" spans="1:1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3">
        <v>46163</v>
      </c>
      <c r="J33" s="3">
        <v>46165</v>
      </c>
      <c r="K33" t="s">
        <v>29</v>
      </c>
    </row>
    <row r="34" spans="1:1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3">
        <v>46082</v>
      </c>
      <c r="J34" s="3">
        <v>46084</v>
      </c>
      <c r="K34" t="s">
        <v>29</v>
      </c>
    </row>
    <row r="35" spans="1:1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3">
        <v>46052</v>
      </c>
      <c r="J35" s="3">
        <v>46061</v>
      </c>
      <c r="K35" t="s">
        <v>51</v>
      </c>
    </row>
    <row r="36" spans="1:1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3">
        <v>46031</v>
      </c>
      <c r="J36" s="3">
        <v>46034</v>
      </c>
      <c r="K36" t="s">
        <v>24</v>
      </c>
    </row>
    <row r="37" spans="1:1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3">
        <v>46071</v>
      </c>
      <c r="J37" s="3">
        <v>46077</v>
      </c>
      <c r="K37" t="s">
        <v>24</v>
      </c>
    </row>
    <row r="38" spans="1:1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3">
        <v>46033</v>
      </c>
      <c r="J38" s="3">
        <v>46043</v>
      </c>
      <c r="K38" t="s">
        <v>24</v>
      </c>
    </row>
    <row r="39" spans="1:1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3">
        <v>46030</v>
      </c>
      <c r="J39" s="3">
        <v>46031</v>
      </c>
      <c r="K39" t="s">
        <v>51</v>
      </c>
    </row>
    <row r="40" spans="1:1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3">
        <v>46107</v>
      </c>
      <c r="J40" s="3">
        <v>46110</v>
      </c>
      <c r="K40" t="s">
        <v>20</v>
      </c>
    </row>
    <row r="41" spans="1:1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3">
        <v>46171</v>
      </c>
      <c r="J41" s="3">
        <v>46178</v>
      </c>
      <c r="K41" t="s">
        <v>24</v>
      </c>
    </row>
    <row r="42" spans="1:1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3">
        <v>46185</v>
      </c>
      <c r="J42" s="3">
        <v>46188</v>
      </c>
      <c r="K42" t="s">
        <v>15</v>
      </c>
    </row>
    <row r="43" spans="1:1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3">
        <v>46081</v>
      </c>
      <c r="J43" s="3">
        <v>46088</v>
      </c>
      <c r="K43" t="s">
        <v>29</v>
      </c>
    </row>
    <row r="44" spans="1:1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3">
        <v>46091</v>
      </c>
      <c r="J44" s="3">
        <v>46098</v>
      </c>
      <c r="K44" t="s">
        <v>29</v>
      </c>
    </row>
    <row r="45" spans="1:1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3">
        <v>46173</v>
      </c>
      <c r="J45" s="3">
        <v>46176</v>
      </c>
      <c r="K45" t="s">
        <v>20</v>
      </c>
    </row>
    <row r="46" spans="1:1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3">
        <v>46038</v>
      </c>
      <c r="J46" s="3">
        <v>46039</v>
      </c>
      <c r="K46" t="s">
        <v>29</v>
      </c>
    </row>
    <row r="47" spans="1:1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3">
        <v>46153</v>
      </c>
      <c r="J47" s="3">
        <v>46158</v>
      </c>
      <c r="K47" t="s">
        <v>29</v>
      </c>
    </row>
    <row r="48" spans="1:1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3">
        <v>46200</v>
      </c>
      <c r="J48" s="3">
        <v>46209</v>
      </c>
      <c r="K48" t="s">
        <v>15</v>
      </c>
    </row>
    <row r="49" spans="1:1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3">
        <v>46180</v>
      </c>
      <c r="J49" s="3">
        <v>46186</v>
      </c>
      <c r="K49" t="s">
        <v>24</v>
      </c>
    </row>
    <row r="50" spans="1:1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3">
        <v>46102</v>
      </c>
      <c r="J50" s="3">
        <v>46108</v>
      </c>
      <c r="K50" t="s">
        <v>24</v>
      </c>
    </row>
    <row r="51" spans="1:1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3">
        <v>46127</v>
      </c>
      <c r="J51" s="3">
        <v>46137</v>
      </c>
      <c r="K51" t="s">
        <v>29</v>
      </c>
    </row>
    <row r="52" spans="1:1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3">
        <v>46037</v>
      </c>
      <c r="J52" s="3">
        <v>46045</v>
      </c>
      <c r="K52" t="s">
        <v>15</v>
      </c>
    </row>
    <row r="53" spans="1:1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3">
        <v>46159</v>
      </c>
      <c r="J53" s="3">
        <v>46165</v>
      </c>
      <c r="K53" t="s">
        <v>20</v>
      </c>
    </row>
    <row r="54" spans="1:1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3">
        <v>46064</v>
      </c>
      <c r="J54" s="3">
        <v>46070</v>
      </c>
      <c r="K54" t="s">
        <v>24</v>
      </c>
    </row>
    <row r="55" spans="1:1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3">
        <v>46200</v>
      </c>
      <c r="J55" s="3">
        <v>46201</v>
      </c>
      <c r="K55" t="s">
        <v>51</v>
      </c>
    </row>
    <row r="56" spans="1:1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3">
        <v>46077</v>
      </c>
      <c r="J56" s="3">
        <v>46078</v>
      </c>
      <c r="K56" t="s">
        <v>15</v>
      </c>
    </row>
    <row r="57" spans="1:1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3">
        <v>46133</v>
      </c>
      <c r="J57" s="3">
        <v>46139</v>
      </c>
      <c r="K57" t="s">
        <v>24</v>
      </c>
    </row>
    <row r="58" spans="1:1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3">
        <v>46067</v>
      </c>
      <c r="J58" s="3">
        <v>46076</v>
      </c>
      <c r="K58" t="s">
        <v>51</v>
      </c>
    </row>
    <row r="59" spans="1:1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3">
        <v>46074</v>
      </c>
      <c r="J59" s="3">
        <v>46084</v>
      </c>
      <c r="K59" t="s">
        <v>24</v>
      </c>
    </row>
    <row r="60" spans="1:1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3">
        <v>46113</v>
      </c>
      <c r="J60" s="3">
        <v>46122</v>
      </c>
      <c r="K60" t="s">
        <v>51</v>
      </c>
    </row>
    <row r="61" spans="1:1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3">
        <v>46024</v>
      </c>
      <c r="J61" s="3">
        <v>46030</v>
      </c>
      <c r="K61" t="s">
        <v>20</v>
      </c>
    </row>
    <row r="62" spans="1:1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3">
        <v>46060</v>
      </c>
      <c r="J62" s="3">
        <v>46069</v>
      </c>
      <c r="K62" t="s">
        <v>20</v>
      </c>
    </row>
    <row r="63" spans="1:1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3">
        <v>46190</v>
      </c>
      <c r="J63" s="3">
        <v>46200</v>
      </c>
      <c r="K63" t="s">
        <v>51</v>
      </c>
    </row>
    <row r="64" spans="1:1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3">
        <v>46148</v>
      </c>
      <c r="J64" s="3">
        <v>46155</v>
      </c>
      <c r="K64" t="s">
        <v>15</v>
      </c>
    </row>
    <row r="65" spans="1:1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3">
        <v>46185</v>
      </c>
      <c r="J65" s="3">
        <v>46195</v>
      </c>
      <c r="K65" t="s">
        <v>29</v>
      </c>
    </row>
    <row r="66" spans="1:1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3">
        <v>46192</v>
      </c>
      <c r="J66" s="3">
        <v>46195</v>
      </c>
      <c r="K66" t="s">
        <v>51</v>
      </c>
    </row>
    <row r="67" spans="1:1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3">
        <v>46082</v>
      </c>
      <c r="J67" s="3">
        <v>46083</v>
      </c>
      <c r="K67" t="s">
        <v>15</v>
      </c>
    </row>
    <row r="68" spans="1:1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3">
        <v>46058</v>
      </c>
      <c r="J68" s="3">
        <v>46062</v>
      </c>
      <c r="K68" t="s">
        <v>29</v>
      </c>
    </row>
    <row r="69" spans="1:1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3">
        <v>46196</v>
      </c>
      <c r="J69" s="3">
        <v>46199</v>
      </c>
      <c r="K69" t="s">
        <v>29</v>
      </c>
    </row>
    <row r="70" spans="1:1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3">
        <v>46039</v>
      </c>
      <c r="J70" s="3">
        <v>46046</v>
      </c>
      <c r="K70" t="s">
        <v>15</v>
      </c>
    </row>
    <row r="71" spans="1:1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3">
        <v>46076</v>
      </c>
      <c r="J71" s="3">
        <v>46077</v>
      </c>
      <c r="K71" t="s">
        <v>29</v>
      </c>
    </row>
    <row r="72" spans="1:1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3">
        <v>46129</v>
      </c>
      <c r="J72" s="3">
        <v>46137</v>
      </c>
      <c r="K72" t="s">
        <v>20</v>
      </c>
    </row>
    <row r="73" spans="1:1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3">
        <v>46035</v>
      </c>
      <c r="J73" s="3">
        <v>46036</v>
      </c>
      <c r="K73" t="s">
        <v>24</v>
      </c>
    </row>
    <row r="74" spans="1:1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3">
        <v>46126</v>
      </c>
      <c r="J74" s="3">
        <v>46129</v>
      </c>
      <c r="K74" t="s">
        <v>51</v>
      </c>
    </row>
    <row r="75" spans="1:1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3">
        <v>46114</v>
      </c>
      <c r="J75" s="3">
        <v>46123</v>
      </c>
      <c r="K75" t="s">
        <v>29</v>
      </c>
    </row>
    <row r="76" spans="1:1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3">
        <v>46185</v>
      </c>
      <c r="J76" s="3">
        <v>46186</v>
      </c>
      <c r="K76" t="s">
        <v>51</v>
      </c>
    </row>
    <row r="77" spans="1:1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3">
        <v>46045</v>
      </c>
      <c r="J77" s="3">
        <v>46055</v>
      </c>
      <c r="K77" t="s">
        <v>29</v>
      </c>
    </row>
    <row r="78" spans="1:1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3">
        <v>46113</v>
      </c>
      <c r="J78" s="3">
        <v>46121</v>
      </c>
      <c r="K78" t="s">
        <v>51</v>
      </c>
    </row>
    <row r="79" spans="1:1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3">
        <v>46084</v>
      </c>
      <c r="J79" s="3">
        <v>46090</v>
      </c>
      <c r="K79" t="s">
        <v>29</v>
      </c>
    </row>
    <row r="80" spans="1:1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3">
        <v>46170</v>
      </c>
      <c r="J80" s="3">
        <v>46177</v>
      </c>
      <c r="K80" t="s">
        <v>51</v>
      </c>
    </row>
    <row r="81" spans="1:1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3">
        <v>46133</v>
      </c>
      <c r="J81" s="3">
        <v>46143</v>
      </c>
      <c r="K81" t="s">
        <v>24</v>
      </c>
    </row>
    <row r="82" spans="1:1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3">
        <v>46058</v>
      </c>
      <c r="J82" s="3">
        <v>46060</v>
      </c>
      <c r="K82" t="s">
        <v>51</v>
      </c>
    </row>
    <row r="83" spans="1:1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3">
        <v>46075</v>
      </c>
      <c r="J83" s="3">
        <v>46085</v>
      </c>
      <c r="K83" t="s">
        <v>51</v>
      </c>
    </row>
    <row r="84" spans="1:1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3">
        <v>46185</v>
      </c>
      <c r="J84" s="3">
        <v>46193</v>
      </c>
      <c r="K84" t="s">
        <v>15</v>
      </c>
    </row>
    <row r="85" spans="1:1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3">
        <v>46047</v>
      </c>
      <c r="J85" s="3">
        <v>46057</v>
      </c>
      <c r="K85" t="s">
        <v>20</v>
      </c>
    </row>
    <row r="86" spans="1:1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3">
        <v>46146</v>
      </c>
      <c r="J86" s="3">
        <v>46150</v>
      </c>
      <c r="K86" t="s">
        <v>24</v>
      </c>
    </row>
    <row r="87" spans="1:1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3">
        <v>46045</v>
      </c>
      <c r="J87" s="3">
        <v>46049</v>
      </c>
      <c r="K87" t="s">
        <v>24</v>
      </c>
    </row>
    <row r="88" spans="1:1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3">
        <v>46171</v>
      </c>
      <c r="J88" s="3">
        <v>46176</v>
      </c>
      <c r="K88" t="s">
        <v>24</v>
      </c>
    </row>
    <row r="89" spans="1:1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3">
        <v>46068</v>
      </c>
      <c r="J89" s="3">
        <v>46069</v>
      </c>
      <c r="K89" t="s">
        <v>20</v>
      </c>
    </row>
    <row r="90" spans="1:1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3">
        <v>46066</v>
      </c>
      <c r="J90" s="3">
        <v>46071</v>
      </c>
      <c r="K90" t="s">
        <v>24</v>
      </c>
    </row>
    <row r="91" spans="1:1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3">
        <v>46088</v>
      </c>
      <c r="J91" s="3">
        <v>46095</v>
      </c>
      <c r="K91" t="s">
        <v>24</v>
      </c>
    </row>
    <row r="92" spans="1:1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3">
        <v>46136</v>
      </c>
      <c r="J92" s="3">
        <v>46144</v>
      </c>
      <c r="K92" t="s">
        <v>15</v>
      </c>
    </row>
    <row r="93" spans="1:1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3">
        <v>46049</v>
      </c>
      <c r="J93" s="3">
        <v>46055</v>
      </c>
      <c r="K93" t="s">
        <v>29</v>
      </c>
    </row>
    <row r="94" spans="1:1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3">
        <v>46175</v>
      </c>
      <c r="J94" s="3">
        <v>46185</v>
      </c>
      <c r="K94" t="s">
        <v>51</v>
      </c>
    </row>
    <row r="95" spans="1:1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3">
        <v>46101</v>
      </c>
      <c r="J95" s="3">
        <v>46105</v>
      </c>
      <c r="K95" t="s">
        <v>29</v>
      </c>
    </row>
    <row r="96" spans="1:1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3">
        <v>46167</v>
      </c>
      <c r="J96" s="3">
        <v>46171</v>
      </c>
      <c r="K96" t="s">
        <v>20</v>
      </c>
    </row>
    <row r="97" spans="1:1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3">
        <v>46054</v>
      </c>
      <c r="J97" s="3">
        <v>46061</v>
      </c>
      <c r="K97" t="s">
        <v>20</v>
      </c>
    </row>
    <row r="98" spans="1:1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3">
        <v>46089</v>
      </c>
      <c r="J98" s="3">
        <v>46094</v>
      </c>
      <c r="K98" t="s">
        <v>24</v>
      </c>
    </row>
    <row r="99" spans="1:1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3">
        <v>46126</v>
      </c>
      <c r="J99" s="3">
        <v>46127</v>
      </c>
      <c r="K99" t="s">
        <v>51</v>
      </c>
    </row>
    <row r="100" spans="1:1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3">
        <v>46058</v>
      </c>
      <c r="J100" s="3">
        <v>46060</v>
      </c>
      <c r="K100" t="s">
        <v>15</v>
      </c>
    </row>
    <row r="101" spans="1:1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3">
        <v>46027</v>
      </c>
      <c r="J101" s="3">
        <v>46031</v>
      </c>
      <c r="K101" t="s">
        <v>51</v>
      </c>
    </row>
    <row r="102" spans="1:1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3">
        <v>46141</v>
      </c>
      <c r="J102" s="3">
        <v>46142</v>
      </c>
      <c r="K102" t="s">
        <v>24</v>
      </c>
    </row>
    <row r="103" spans="1:1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3">
        <v>46106</v>
      </c>
      <c r="J103" s="3">
        <v>46113</v>
      </c>
      <c r="K103" t="s">
        <v>51</v>
      </c>
    </row>
    <row r="104" spans="1:1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3">
        <v>46040</v>
      </c>
      <c r="J104" s="3">
        <v>46041</v>
      </c>
      <c r="K104" t="s">
        <v>29</v>
      </c>
    </row>
    <row r="105" spans="1:1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3">
        <v>46060</v>
      </c>
      <c r="J105" s="3">
        <v>46064</v>
      </c>
      <c r="K105" t="s">
        <v>29</v>
      </c>
    </row>
    <row r="106" spans="1:1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3">
        <v>46057</v>
      </c>
      <c r="J106" s="3">
        <v>46066</v>
      </c>
      <c r="K106" t="s">
        <v>51</v>
      </c>
    </row>
    <row r="107" spans="1:1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3">
        <v>46091</v>
      </c>
      <c r="J107" s="3">
        <v>46097</v>
      </c>
      <c r="K107" t="s">
        <v>29</v>
      </c>
    </row>
    <row r="108" spans="1:1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3">
        <v>46076</v>
      </c>
      <c r="J108" s="3">
        <v>46078</v>
      </c>
      <c r="K108" t="s">
        <v>15</v>
      </c>
    </row>
    <row r="109" spans="1:1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3">
        <v>46119</v>
      </c>
      <c r="J109" s="3">
        <v>46127</v>
      </c>
      <c r="K109" t="s">
        <v>20</v>
      </c>
    </row>
    <row r="110" spans="1:1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3">
        <v>46033</v>
      </c>
      <c r="J110" s="3">
        <v>46037</v>
      </c>
      <c r="K110" t="s">
        <v>20</v>
      </c>
    </row>
    <row r="111" spans="1:1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3">
        <v>46077</v>
      </c>
      <c r="J111" s="3">
        <v>46082</v>
      </c>
      <c r="K111" t="s">
        <v>29</v>
      </c>
    </row>
    <row r="112" spans="1:1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3">
        <v>46133</v>
      </c>
      <c r="J112" s="3">
        <v>46141</v>
      </c>
      <c r="K112" t="s">
        <v>29</v>
      </c>
    </row>
    <row r="113" spans="1:1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3">
        <v>46090</v>
      </c>
      <c r="J113" s="3">
        <v>46100</v>
      </c>
      <c r="K113" t="s">
        <v>15</v>
      </c>
    </row>
    <row r="114" spans="1:1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3">
        <v>46076</v>
      </c>
      <c r="J114" s="3">
        <v>46081</v>
      </c>
      <c r="K114" t="s">
        <v>24</v>
      </c>
    </row>
    <row r="115" spans="1:1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3">
        <v>46066</v>
      </c>
      <c r="J115" s="3">
        <v>46069</v>
      </c>
      <c r="K115" t="s">
        <v>15</v>
      </c>
    </row>
    <row r="116" spans="1:1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3">
        <v>46149</v>
      </c>
      <c r="J116" s="3">
        <v>46157</v>
      </c>
      <c r="K116" t="s">
        <v>29</v>
      </c>
    </row>
    <row r="117" spans="1:1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3">
        <v>46049</v>
      </c>
      <c r="J117" s="3">
        <v>46051</v>
      </c>
      <c r="K117" t="s">
        <v>15</v>
      </c>
    </row>
    <row r="118" spans="1:1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3">
        <v>46147</v>
      </c>
      <c r="J118" s="3">
        <v>46155</v>
      </c>
      <c r="K118" t="s">
        <v>29</v>
      </c>
    </row>
    <row r="119" spans="1:1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3">
        <v>46178</v>
      </c>
      <c r="J119" s="3">
        <v>46187</v>
      </c>
      <c r="K119" t="s">
        <v>29</v>
      </c>
    </row>
    <row r="120" spans="1:1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3">
        <v>46184</v>
      </c>
      <c r="J120" s="3">
        <v>46192</v>
      </c>
      <c r="K120" t="s">
        <v>51</v>
      </c>
    </row>
    <row r="121" spans="1:1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3">
        <v>46061</v>
      </c>
      <c r="J121" s="3">
        <v>46065</v>
      </c>
      <c r="K121" t="s">
        <v>51</v>
      </c>
    </row>
    <row r="122" spans="1:1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3">
        <v>46103</v>
      </c>
      <c r="J122" s="3">
        <v>46108</v>
      </c>
      <c r="K122" t="s">
        <v>29</v>
      </c>
    </row>
    <row r="123" spans="1:1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3">
        <v>46132</v>
      </c>
      <c r="J123" s="3">
        <v>46135</v>
      </c>
      <c r="K123" t="s">
        <v>29</v>
      </c>
    </row>
    <row r="124" spans="1:1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3">
        <v>46107</v>
      </c>
      <c r="J124" s="3">
        <v>46109</v>
      </c>
      <c r="K124" t="s">
        <v>29</v>
      </c>
    </row>
    <row r="125" spans="1:1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3">
        <v>46182</v>
      </c>
      <c r="J125" s="3">
        <v>46189</v>
      </c>
      <c r="K125" t="s">
        <v>51</v>
      </c>
    </row>
    <row r="126" spans="1:1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3">
        <v>46133</v>
      </c>
      <c r="J126" s="3">
        <v>46138</v>
      </c>
      <c r="K126" t="s">
        <v>24</v>
      </c>
    </row>
    <row r="127" spans="1:1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3">
        <v>46201</v>
      </c>
      <c r="J127" s="3">
        <v>46206</v>
      </c>
      <c r="K127" t="s">
        <v>29</v>
      </c>
    </row>
    <row r="128" spans="1:1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3">
        <v>46170</v>
      </c>
      <c r="J128" s="3">
        <v>46179</v>
      </c>
      <c r="K128" t="s">
        <v>29</v>
      </c>
    </row>
    <row r="129" spans="1:1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3">
        <v>46044</v>
      </c>
      <c r="J129" s="3">
        <v>46050</v>
      </c>
      <c r="K129" t="s">
        <v>29</v>
      </c>
    </row>
    <row r="130" spans="1:1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3">
        <v>46160</v>
      </c>
      <c r="J130" s="3">
        <v>46164</v>
      </c>
      <c r="K130" t="s">
        <v>29</v>
      </c>
    </row>
    <row r="131" spans="1:1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3">
        <v>46125</v>
      </c>
      <c r="J131" s="3">
        <v>46131</v>
      </c>
      <c r="K131" t="s">
        <v>24</v>
      </c>
    </row>
    <row r="132" spans="1:1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3">
        <v>46168</v>
      </c>
      <c r="J132" s="3">
        <v>46173</v>
      </c>
      <c r="K132" t="s">
        <v>51</v>
      </c>
    </row>
    <row r="133" spans="1:1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3">
        <v>46024</v>
      </c>
      <c r="J133" s="3">
        <v>46034</v>
      </c>
      <c r="K133" t="s">
        <v>24</v>
      </c>
    </row>
    <row r="134" spans="1:1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3">
        <v>46112</v>
      </c>
      <c r="J134" s="3">
        <v>46121</v>
      </c>
      <c r="K134" t="s">
        <v>51</v>
      </c>
    </row>
    <row r="135" spans="1:1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3">
        <v>46148</v>
      </c>
      <c r="J135" s="3">
        <v>46150</v>
      </c>
      <c r="K135" t="s">
        <v>24</v>
      </c>
    </row>
    <row r="136" spans="1:1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3">
        <v>46041</v>
      </c>
      <c r="J136" s="3">
        <v>46042</v>
      </c>
      <c r="K136" t="s">
        <v>15</v>
      </c>
    </row>
    <row r="137" spans="1:1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3">
        <v>46056</v>
      </c>
      <c r="J137" s="3">
        <v>46062</v>
      </c>
      <c r="K137" t="s">
        <v>24</v>
      </c>
    </row>
    <row r="138" spans="1:1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3">
        <v>46184</v>
      </c>
      <c r="J138" s="3">
        <v>46190</v>
      </c>
      <c r="K138" t="s">
        <v>29</v>
      </c>
    </row>
    <row r="139" spans="1:1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3">
        <v>46084</v>
      </c>
      <c r="J139" s="3">
        <v>46092</v>
      </c>
      <c r="K139" t="s">
        <v>51</v>
      </c>
    </row>
    <row r="140" spans="1:1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3">
        <v>46093</v>
      </c>
      <c r="J140" s="3">
        <v>46099</v>
      </c>
      <c r="K140" t="s">
        <v>15</v>
      </c>
    </row>
    <row r="141" spans="1:1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3">
        <v>46061</v>
      </c>
      <c r="J141" s="3">
        <v>46065</v>
      </c>
      <c r="K141" t="s">
        <v>15</v>
      </c>
    </row>
    <row r="142" spans="1:1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3">
        <v>46043</v>
      </c>
      <c r="J142" s="3">
        <v>46053</v>
      </c>
      <c r="K142" t="s">
        <v>15</v>
      </c>
    </row>
    <row r="143" spans="1:1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3">
        <v>46064</v>
      </c>
      <c r="J143" s="3">
        <v>46071</v>
      </c>
      <c r="K143" t="s">
        <v>29</v>
      </c>
    </row>
    <row r="144" spans="1:1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3">
        <v>46160</v>
      </c>
      <c r="J144" s="3">
        <v>46167</v>
      </c>
      <c r="K144" t="s">
        <v>24</v>
      </c>
    </row>
    <row r="145" spans="1:1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3">
        <v>46138</v>
      </c>
      <c r="J145" s="3">
        <v>46140</v>
      </c>
      <c r="K145" t="s">
        <v>20</v>
      </c>
    </row>
    <row r="146" spans="1:1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3">
        <v>46102</v>
      </c>
      <c r="J146" s="3">
        <v>46112</v>
      </c>
      <c r="K146" t="s">
        <v>24</v>
      </c>
    </row>
    <row r="147" spans="1:1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3">
        <v>46190</v>
      </c>
      <c r="J147" s="3">
        <v>46197</v>
      </c>
      <c r="K147" t="s">
        <v>29</v>
      </c>
    </row>
    <row r="148" spans="1:1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3">
        <v>46154</v>
      </c>
      <c r="J148" s="3">
        <v>46155</v>
      </c>
      <c r="K148" t="s">
        <v>20</v>
      </c>
    </row>
    <row r="149" spans="1:1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3">
        <v>46030</v>
      </c>
      <c r="J149" s="3">
        <v>46032</v>
      </c>
      <c r="K149" t="s">
        <v>24</v>
      </c>
    </row>
    <row r="150" spans="1:1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3">
        <v>46053</v>
      </c>
      <c r="J150" s="3">
        <v>46054</v>
      </c>
      <c r="K150" t="s">
        <v>29</v>
      </c>
    </row>
    <row r="151" spans="1:1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3">
        <v>46143</v>
      </c>
      <c r="J151" s="3">
        <v>46153</v>
      </c>
      <c r="K151" t="s">
        <v>24</v>
      </c>
    </row>
    <row r="152" spans="1:1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3">
        <v>46024</v>
      </c>
      <c r="J152" s="3">
        <v>46029</v>
      </c>
      <c r="K152" t="s">
        <v>51</v>
      </c>
    </row>
    <row r="153" spans="1:1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3">
        <v>46062</v>
      </c>
      <c r="J153" s="3">
        <v>46070</v>
      </c>
      <c r="K153" t="s">
        <v>15</v>
      </c>
    </row>
    <row r="154" spans="1:1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3">
        <v>46069</v>
      </c>
      <c r="J154" s="3">
        <v>46072</v>
      </c>
      <c r="K154" t="s">
        <v>29</v>
      </c>
    </row>
    <row r="155" spans="1:1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3">
        <v>46178</v>
      </c>
      <c r="J155" s="3">
        <v>46183</v>
      </c>
      <c r="K155" t="s">
        <v>51</v>
      </c>
    </row>
    <row r="156" spans="1:1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3">
        <v>46093</v>
      </c>
      <c r="J156" s="3">
        <v>46096</v>
      </c>
      <c r="K156" t="s">
        <v>24</v>
      </c>
    </row>
    <row r="157" spans="1:1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3">
        <v>46025</v>
      </c>
      <c r="J157" s="3">
        <v>46029</v>
      </c>
      <c r="K157" t="s">
        <v>15</v>
      </c>
    </row>
    <row r="158" spans="1:1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3">
        <v>46076</v>
      </c>
      <c r="J158" s="3">
        <v>46080</v>
      </c>
      <c r="K158" t="s">
        <v>29</v>
      </c>
    </row>
    <row r="159" spans="1:1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3">
        <v>46079</v>
      </c>
      <c r="J159" s="3">
        <v>46082</v>
      </c>
      <c r="K159" t="s">
        <v>51</v>
      </c>
    </row>
    <row r="160" spans="1:1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3">
        <v>46184</v>
      </c>
      <c r="J160" s="3">
        <v>46187</v>
      </c>
      <c r="K160" t="s">
        <v>15</v>
      </c>
    </row>
    <row r="161" spans="1:1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3">
        <v>46142</v>
      </c>
      <c r="J161" s="3">
        <v>46147</v>
      </c>
      <c r="K161" t="s">
        <v>51</v>
      </c>
    </row>
    <row r="162" spans="1:1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3">
        <v>46105</v>
      </c>
      <c r="J162" s="3">
        <v>46109</v>
      </c>
      <c r="K162" t="s">
        <v>20</v>
      </c>
    </row>
    <row r="163" spans="1:1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3">
        <v>46100</v>
      </c>
      <c r="J163" s="3">
        <v>46101</v>
      </c>
      <c r="K163" t="s">
        <v>20</v>
      </c>
    </row>
    <row r="164" spans="1:1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3">
        <v>46081</v>
      </c>
      <c r="J164" s="3">
        <v>46086</v>
      </c>
      <c r="K164" t="s">
        <v>29</v>
      </c>
    </row>
    <row r="165" spans="1:1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3">
        <v>46196</v>
      </c>
      <c r="J165" s="3">
        <v>46203</v>
      </c>
      <c r="K165" t="s">
        <v>51</v>
      </c>
    </row>
    <row r="166" spans="1:1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3">
        <v>46042</v>
      </c>
      <c r="J166" s="3">
        <v>46050</v>
      </c>
      <c r="K166" t="s">
        <v>51</v>
      </c>
    </row>
    <row r="167" spans="1:1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3">
        <v>46092</v>
      </c>
      <c r="J167" s="3">
        <v>46093</v>
      </c>
      <c r="K167" t="s">
        <v>20</v>
      </c>
    </row>
    <row r="168" spans="1:1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3">
        <v>46160</v>
      </c>
      <c r="J168" s="3">
        <v>46170</v>
      </c>
      <c r="K168" t="s">
        <v>29</v>
      </c>
    </row>
    <row r="169" spans="1:1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3">
        <v>46130</v>
      </c>
      <c r="J169" s="3">
        <v>46140</v>
      </c>
      <c r="K169" t="s">
        <v>29</v>
      </c>
    </row>
    <row r="170" spans="1:1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3">
        <v>46121</v>
      </c>
      <c r="J170" s="3">
        <v>46130</v>
      </c>
      <c r="K170" t="s">
        <v>24</v>
      </c>
    </row>
    <row r="171" spans="1:1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3">
        <v>46105</v>
      </c>
      <c r="J171" s="3">
        <v>46106</v>
      </c>
      <c r="K171" t="s">
        <v>24</v>
      </c>
    </row>
    <row r="172" spans="1:1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3">
        <v>46155</v>
      </c>
      <c r="J172" s="3">
        <v>46160</v>
      </c>
      <c r="K172" t="s">
        <v>20</v>
      </c>
    </row>
    <row r="173" spans="1:1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3">
        <v>46120</v>
      </c>
      <c r="J173" s="3">
        <v>46129</v>
      </c>
      <c r="K173" t="s">
        <v>24</v>
      </c>
    </row>
    <row r="174" spans="1:1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3">
        <v>46050</v>
      </c>
      <c r="J174" s="3">
        <v>46060</v>
      </c>
      <c r="K174" t="s">
        <v>51</v>
      </c>
    </row>
    <row r="175" spans="1:1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3">
        <v>46066</v>
      </c>
      <c r="J175" s="3">
        <v>46069</v>
      </c>
      <c r="K175" t="s">
        <v>24</v>
      </c>
    </row>
    <row r="176" spans="1:1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3">
        <v>46088</v>
      </c>
      <c r="J176" s="3">
        <v>46094</v>
      </c>
      <c r="K176" t="s">
        <v>20</v>
      </c>
    </row>
    <row r="177" spans="1:1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3">
        <v>46048</v>
      </c>
      <c r="J177" s="3">
        <v>46056</v>
      </c>
      <c r="K177" t="s">
        <v>29</v>
      </c>
    </row>
    <row r="178" spans="1:1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3">
        <v>46169</v>
      </c>
      <c r="J178" s="3">
        <v>46179</v>
      </c>
      <c r="K178" t="s">
        <v>20</v>
      </c>
    </row>
    <row r="179" spans="1:1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3">
        <v>46111</v>
      </c>
      <c r="J179" s="3">
        <v>46117</v>
      </c>
      <c r="K179" t="s">
        <v>20</v>
      </c>
    </row>
    <row r="180" spans="1:1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3">
        <v>46155</v>
      </c>
      <c r="J180" s="3">
        <v>46158</v>
      </c>
      <c r="K180" t="s">
        <v>15</v>
      </c>
    </row>
    <row r="181" spans="1:1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3">
        <v>46111</v>
      </c>
      <c r="J181" s="3">
        <v>46121</v>
      </c>
      <c r="K181" t="s">
        <v>29</v>
      </c>
    </row>
    <row r="182" spans="1:1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3">
        <v>46033</v>
      </c>
      <c r="J182" s="3">
        <v>46035</v>
      </c>
      <c r="K182" t="s">
        <v>15</v>
      </c>
    </row>
    <row r="183" spans="1:1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3">
        <v>46108</v>
      </c>
      <c r="J183" s="3">
        <v>46114</v>
      </c>
      <c r="K183" t="s">
        <v>24</v>
      </c>
    </row>
    <row r="184" spans="1:1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3">
        <v>46109</v>
      </c>
      <c r="J184" s="3">
        <v>46111</v>
      </c>
      <c r="K184" t="s">
        <v>20</v>
      </c>
    </row>
    <row r="185" spans="1:1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3">
        <v>46145</v>
      </c>
      <c r="J185" s="3">
        <v>46153</v>
      </c>
      <c r="K185" t="s">
        <v>29</v>
      </c>
    </row>
    <row r="186" spans="1:1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3">
        <v>46153</v>
      </c>
      <c r="J186" s="3">
        <v>46156</v>
      </c>
      <c r="K186" t="s">
        <v>15</v>
      </c>
    </row>
    <row r="187" spans="1:1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3">
        <v>46188</v>
      </c>
      <c r="J187" s="3">
        <v>46196</v>
      </c>
      <c r="K187" t="s">
        <v>24</v>
      </c>
    </row>
    <row r="188" spans="1:1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3">
        <v>46178</v>
      </c>
      <c r="J188" s="3">
        <v>46184</v>
      </c>
      <c r="K188" t="s">
        <v>51</v>
      </c>
    </row>
    <row r="189" spans="1:1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3">
        <v>46137</v>
      </c>
      <c r="J189" s="3">
        <v>46142</v>
      </c>
      <c r="K189" t="s">
        <v>15</v>
      </c>
    </row>
    <row r="190" spans="1:1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3">
        <v>46184</v>
      </c>
      <c r="J190" s="3">
        <v>46185</v>
      </c>
      <c r="K190" t="s">
        <v>29</v>
      </c>
    </row>
    <row r="191" spans="1:1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3">
        <v>46052</v>
      </c>
      <c r="J191" s="3">
        <v>46062</v>
      </c>
      <c r="K191" t="s">
        <v>20</v>
      </c>
    </row>
    <row r="192" spans="1:1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3">
        <v>46149</v>
      </c>
      <c r="J192" s="3">
        <v>46156</v>
      </c>
      <c r="K192" t="s">
        <v>20</v>
      </c>
    </row>
    <row r="193" spans="1:1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3">
        <v>46089</v>
      </c>
      <c r="J193" s="3">
        <v>46095</v>
      </c>
      <c r="K193" t="s">
        <v>24</v>
      </c>
    </row>
    <row r="194" spans="1:1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3">
        <v>46110</v>
      </c>
      <c r="J194" s="3">
        <v>46112</v>
      </c>
      <c r="K194" t="s">
        <v>29</v>
      </c>
    </row>
    <row r="195" spans="1:1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3">
        <v>46129</v>
      </c>
      <c r="J195" s="3">
        <v>46133</v>
      </c>
      <c r="K195" t="s">
        <v>51</v>
      </c>
    </row>
    <row r="196" spans="1:1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3">
        <v>46198</v>
      </c>
      <c r="J196" s="3">
        <v>46206</v>
      </c>
      <c r="K196" t="s">
        <v>51</v>
      </c>
    </row>
    <row r="197" spans="1:1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3">
        <v>46155</v>
      </c>
      <c r="J197" s="3">
        <v>46159</v>
      </c>
      <c r="K197" t="s">
        <v>20</v>
      </c>
    </row>
    <row r="198" spans="1:1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3">
        <v>46045</v>
      </c>
      <c r="J198" s="3">
        <v>46048</v>
      </c>
      <c r="K198" t="s">
        <v>15</v>
      </c>
    </row>
    <row r="199" spans="1:1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3">
        <v>46106</v>
      </c>
      <c r="J199" s="3">
        <v>46109</v>
      </c>
      <c r="K199" t="s">
        <v>51</v>
      </c>
    </row>
    <row r="200" spans="1:1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3">
        <v>46178</v>
      </c>
      <c r="J200" s="3">
        <v>46180</v>
      </c>
      <c r="K200" t="s">
        <v>24</v>
      </c>
    </row>
    <row r="201" spans="1:1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3">
        <v>46134</v>
      </c>
      <c r="J201" s="3">
        <v>46143</v>
      </c>
      <c r="K201" t="s">
        <v>29</v>
      </c>
    </row>
    <row r="202" spans="1:1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3">
        <v>46075</v>
      </c>
      <c r="J202" s="3">
        <v>46076</v>
      </c>
      <c r="K202" t="s">
        <v>20</v>
      </c>
    </row>
    <row r="203" spans="1:1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3">
        <v>46082</v>
      </c>
      <c r="J203" s="3">
        <v>46091</v>
      </c>
      <c r="K203" t="s">
        <v>15</v>
      </c>
    </row>
    <row r="204" spans="1:1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3">
        <v>46119</v>
      </c>
      <c r="J204" s="3">
        <v>46122</v>
      </c>
      <c r="K204" t="s">
        <v>51</v>
      </c>
    </row>
    <row r="205" spans="1:1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3">
        <v>46123</v>
      </c>
      <c r="J205" s="3">
        <v>46132</v>
      </c>
      <c r="K205" t="s">
        <v>20</v>
      </c>
    </row>
    <row r="206" spans="1:1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3">
        <v>46033</v>
      </c>
      <c r="J206" s="3">
        <v>46040</v>
      </c>
      <c r="K206" t="s">
        <v>51</v>
      </c>
    </row>
    <row r="207" spans="1:1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3">
        <v>46166</v>
      </c>
      <c r="J207" s="3">
        <v>46174</v>
      </c>
      <c r="K207" t="s">
        <v>15</v>
      </c>
    </row>
    <row r="208" spans="1:1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3">
        <v>46164</v>
      </c>
      <c r="J208" s="3">
        <v>46173</v>
      </c>
      <c r="K208" t="s">
        <v>24</v>
      </c>
    </row>
    <row r="209" spans="1:1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3">
        <v>46042</v>
      </c>
      <c r="J209" s="3">
        <v>46047</v>
      </c>
      <c r="K209" t="s">
        <v>20</v>
      </c>
    </row>
    <row r="210" spans="1:1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3">
        <v>46103</v>
      </c>
      <c r="J210" s="3">
        <v>46110</v>
      </c>
      <c r="K210" t="s">
        <v>20</v>
      </c>
    </row>
    <row r="211" spans="1:1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3">
        <v>46052</v>
      </c>
      <c r="J211" s="3">
        <v>46060</v>
      </c>
      <c r="K211" t="s">
        <v>29</v>
      </c>
    </row>
    <row r="212" spans="1:1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3">
        <v>46175</v>
      </c>
      <c r="J212" s="3">
        <v>46183</v>
      </c>
      <c r="K212" t="s">
        <v>15</v>
      </c>
    </row>
    <row r="213" spans="1:1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3">
        <v>46194</v>
      </c>
      <c r="J213" s="3">
        <v>46195</v>
      </c>
      <c r="K213" t="s">
        <v>29</v>
      </c>
    </row>
    <row r="214" spans="1:1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3">
        <v>46116</v>
      </c>
      <c r="J214" s="3">
        <v>46119</v>
      </c>
      <c r="K214" t="s">
        <v>15</v>
      </c>
    </row>
    <row r="215" spans="1:1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3">
        <v>46140</v>
      </c>
      <c r="J215" s="3">
        <v>46145</v>
      </c>
      <c r="K215" t="s">
        <v>51</v>
      </c>
    </row>
    <row r="216" spans="1:1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3">
        <v>46131</v>
      </c>
      <c r="J216" s="3">
        <v>46136</v>
      </c>
      <c r="K216" t="s">
        <v>29</v>
      </c>
    </row>
    <row r="217" spans="1:1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3">
        <v>46135</v>
      </c>
      <c r="J217" s="3">
        <v>46139</v>
      </c>
      <c r="K217" t="s">
        <v>29</v>
      </c>
    </row>
    <row r="218" spans="1:1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3">
        <v>46171</v>
      </c>
      <c r="J218" s="3">
        <v>46172</v>
      </c>
      <c r="K218" t="s">
        <v>29</v>
      </c>
    </row>
    <row r="219" spans="1:1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3">
        <v>46143</v>
      </c>
      <c r="J219" s="3">
        <v>46151</v>
      </c>
      <c r="K219" t="s">
        <v>51</v>
      </c>
    </row>
    <row r="220" spans="1:1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3">
        <v>46202</v>
      </c>
      <c r="J220" s="3">
        <v>46206</v>
      </c>
      <c r="K220" t="s">
        <v>29</v>
      </c>
    </row>
    <row r="221" spans="1:1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3">
        <v>46170</v>
      </c>
      <c r="J221" s="3">
        <v>46174</v>
      </c>
      <c r="K221" t="s">
        <v>24</v>
      </c>
    </row>
    <row r="222" spans="1:1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3">
        <v>46122</v>
      </c>
      <c r="J222" s="3">
        <v>46125</v>
      </c>
      <c r="K222" t="s">
        <v>51</v>
      </c>
    </row>
    <row r="223" spans="1:1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3">
        <v>46154</v>
      </c>
      <c r="J223" s="3">
        <v>46163</v>
      </c>
      <c r="K223" t="s">
        <v>15</v>
      </c>
    </row>
    <row r="224" spans="1:1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3">
        <v>46077</v>
      </c>
      <c r="J224" s="3">
        <v>46084</v>
      </c>
      <c r="K224" t="s">
        <v>15</v>
      </c>
    </row>
    <row r="225" spans="1:1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3">
        <v>46045</v>
      </c>
      <c r="J225" s="3">
        <v>46052</v>
      </c>
      <c r="K225" t="s">
        <v>24</v>
      </c>
    </row>
    <row r="226" spans="1:1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3">
        <v>46125</v>
      </c>
      <c r="J226" s="3">
        <v>46126</v>
      </c>
      <c r="K226" t="s">
        <v>20</v>
      </c>
    </row>
    <row r="227" spans="1:1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3">
        <v>46044</v>
      </c>
      <c r="J227" s="3">
        <v>46048</v>
      </c>
      <c r="K227" t="s">
        <v>29</v>
      </c>
    </row>
    <row r="228" spans="1:1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3">
        <v>46113</v>
      </c>
      <c r="J228" s="3">
        <v>46116</v>
      </c>
      <c r="K228" t="s">
        <v>15</v>
      </c>
    </row>
    <row r="229" spans="1:1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3">
        <v>46041</v>
      </c>
      <c r="J229" s="3">
        <v>46043</v>
      </c>
      <c r="K229" t="s">
        <v>24</v>
      </c>
    </row>
    <row r="230" spans="1:1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3">
        <v>46027</v>
      </c>
      <c r="J230" s="3">
        <v>46036</v>
      </c>
      <c r="K230" t="s">
        <v>20</v>
      </c>
    </row>
    <row r="231" spans="1:1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3">
        <v>46050</v>
      </c>
      <c r="J231" s="3">
        <v>46059</v>
      </c>
      <c r="K231" t="s">
        <v>24</v>
      </c>
    </row>
    <row r="232" spans="1:1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3">
        <v>46178</v>
      </c>
      <c r="J232" s="3">
        <v>46186</v>
      </c>
      <c r="K232" t="s">
        <v>20</v>
      </c>
    </row>
    <row r="233" spans="1:1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3">
        <v>46060</v>
      </c>
      <c r="J233" s="3">
        <v>46065</v>
      </c>
      <c r="K233" t="s">
        <v>15</v>
      </c>
    </row>
    <row r="234" spans="1:1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3">
        <v>46198</v>
      </c>
      <c r="J234" s="3">
        <v>46202</v>
      </c>
      <c r="K234" t="s">
        <v>24</v>
      </c>
    </row>
    <row r="235" spans="1:1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3">
        <v>46114</v>
      </c>
      <c r="J235" s="3">
        <v>46121</v>
      </c>
      <c r="K235" t="s">
        <v>51</v>
      </c>
    </row>
    <row r="236" spans="1:1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3">
        <v>46172</v>
      </c>
      <c r="J236" s="3">
        <v>46177</v>
      </c>
      <c r="K236" t="s">
        <v>29</v>
      </c>
    </row>
    <row r="237" spans="1:1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3">
        <v>46164</v>
      </c>
      <c r="J237" s="3">
        <v>46169</v>
      </c>
      <c r="K237" t="s">
        <v>29</v>
      </c>
    </row>
    <row r="238" spans="1:1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3">
        <v>46137</v>
      </c>
      <c r="J238" s="3">
        <v>46145</v>
      </c>
      <c r="K238" t="s">
        <v>15</v>
      </c>
    </row>
    <row r="239" spans="1:1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3">
        <v>46096</v>
      </c>
      <c r="J239" s="3">
        <v>46097</v>
      </c>
      <c r="K239" t="s">
        <v>51</v>
      </c>
    </row>
    <row r="240" spans="1:1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3">
        <v>46122</v>
      </c>
      <c r="J240" s="3">
        <v>46125</v>
      </c>
      <c r="K240" t="s">
        <v>15</v>
      </c>
    </row>
    <row r="241" spans="1:1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3">
        <v>46142</v>
      </c>
      <c r="J241" s="3">
        <v>46146</v>
      </c>
      <c r="K241" t="s">
        <v>29</v>
      </c>
    </row>
    <row r="242" spans="1:1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3">
        <v>46119</v>
      </c>
      <c r="J242" s="3">
        <v>46122</v>
      </c>
      <c r="K242" t="s">
        <v>15</v>
      </c>
    </row>
    <row r="243" spans="1:1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3">
        <v>46191</v>
      </c>
      <c r="J243" s="3">
        <v>46196</v>
      </c>
      <c r="K243" t="s">
        <v>51</v>
      </c>
    </row>
    <row r="244" spans="1:1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3">
        <v>46069</v>
      </c>
      <c r="J244" s="3">
        <v>46077</v>
      </c>
      <c r="K244" t="s">
        <v>24</v>
      </c>
    </row>
    <row r="245" spans="1:1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3">
        <v>46200</v>
      </c>
      <c r="J245" s="3">
        <v>46205</v>
      </c>
      <c r="K245" t="s">
        <v>15</v>
      </c>
    </row>
    <row r="246" spans="1:1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3">
        <v>46176</v>
      </c>
      <c r="J246" s="3">
        <v>46179</v>
      </c>
      <c r="K246" t="s">
        <v>29</v>
      </c>
    </row>
    <row r="247" spans="1:1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3">
        <v>46039</v>
      </c>
      <c r="J247" s="3">
        <v>46045</v>
      </c>
      <c r="K247" t="s">
        <v>51</v>
      </c>
    </row>
    <row r="248" spans="1:1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3">
        <v>46173</v>
      </c>
      <c r="J248" s="3">
        <v>46175</v>
      </c>
      <c r="K248" t="s">
        <v>20</v>
      </c>
    </row>
    <row r="249" spans="1:1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3">
        <v>46161</v>
      </c>
      <c r="J249" s="3">
        <v>46171</v>
      </c>
      <c r="K249" t="s">
        <v>29</v>
      </c>
    </row>
    <row r="250" spans="1:1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3">
        <v>46163</v>
      </c>
      <c r="J250" s="3">
        <v>46165</v>
      </c>
      <c r="K250" t="s">
        <v>20</v>
      </c>
    </row>
    <row r="251" spans="1:1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3">
        <v>46051</v>
      </c>
      <c r="J251" s="3">
        <v>46053</v>
      </c>
      <c r="K251" t="s">
        <v>29</v>
      </c>
    </row>
    <row r="252" spans="1:1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3">
        <v>46112</v>
      </c>
      <c r="J252" s="3">
        <v>46121</v>
      </c>
      <c r="K252" t="s">
        <v>51</v>
      </c>
    </row>
    <row r="253" spans="1:1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3">
        <v>46166</v>
      </c>
      <c r="J253" s="3">
        <v>46173</v>
      </c>
      <c r="K253" t="s">
        <v>20</v>
      </c>
    </row>
    <row r="254" spans="1:1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3">
        <v>46074</v>
      </c>
      <c r="J254" s="3">
        <v>46075</v>
      </c>
      <c r="K254" t="s">
        <v>29</v>
      </c>
    </row>
    <row r="255" spans="1:1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3">
        <v>46141</v>
      </c>
      <c r="J255" s="3">
        <v>46149</v>
      </c>
      <c r="K255" t="s">
        <v>24</v>
      </c>
    </row>
    <row r="256" spans="1:1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3">
        <v>46091</v>
      </c>
      <c r="J256" s="3">
        <v>46095</v>
      </c>
      <c r="K256" t="s">
        <v>20</v>
      </c>
    </row>
    <row r="257" spans="1:1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3">
        <v>46057</v>
      </c>
      <c r="J257" s="3">
        <v>46061</v>
      </c>
      <c r="K257" t="s">
        <v>15</v>
      </c>
    </row>
    <row r="258" spans="1:1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3">
        <v>46161</v>
      </c>
      <c r="J258" s="3">
        <v>46171</v>
      </c>
      <c r="K258" t="s">
        <v>15</v>
      </c>
    </row>
    <row r="259" spans="1:1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3">
        <v>46137</v>
      </c>
      <c r="J259" s="3">
        <v>46138</v>
      </c>
      <c r="K259" t="s">
        <v>29</v>
      </c>
    </row>
    <row r="260" spans="1:1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3">
        <v>46172</v>
      </c>
      <c r="J260" s="3">
        <v>46182</v>
      </c>
      <c r="K260" t="s">
        <v>15</v>
      </c>
    </row>
    <row r="261" spans="1:1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3">
        <v>46040</v>
      </c>
      <c r="J261" s="3">
        <v>46045</v>
      </c>
      <c r="K261" t="s">
        <v>29</v>
      </c>
    </row>
    <row r="262" spans="1:1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3">
        <v>46119</v>
      </c>
      <c r="J262" s="3">
        <v>46120</v>
      </c>
      <c r="K262" t="s">
        <v>51</v>
      </c>
    </row>
    <row r="263" spans="1:1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3">
        <v>46174</v>
      </c>
      <c r="J263" s="3">
        <v>46183</v>
      </c>
      <c r="K263" t="s">
        <v>15</v>
      </c>
    </row>
    <row r="264" spans="1:1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3">
        <v>46130</v>
      </c>
      <c r="J264" s="3">
        <v>46138</v>
      </c>
      <c r="K264" t="s">
        <v>51</v>
      </c>
    </row>
    <row r="265" spans="1:1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3">
        <v>46200</v>
      </c>
      <c r="J265" s="3">
        <v>46206</v>
      </c>
      <c r="K265" t="s">
        <v>20</v>
      </c>
    </row>
    <row r="266" spans="1:1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3">
        <v>46117</v>
      </c>
      <c r="J266" s="3">
        <v>46127</v>
      </c>
      <c r="K266" t="s">
        <v>51</v>
      </c>
    </row>
    <row r="267" spans="1:1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3">
        <v>46096</v>
      </c>
      <c r="J267" s="3">
        <v>46104</v>
      </c>
      <c r="K267" t="s">
        <v>51</v>
      </c>
    </row>
    <row r="268" spans="1:1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3">
        <v>46129</v>
      </c>
      <c r="J268" s="3">
        <v>46138</v>
      </c>
      <c r="K268" t="s">
        <v>20</v>
      </c>
    </row>
    <row r="269" spans="1:1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3">
        <v>46199</v>
      </c>
      <c r="J269" s="3">
        <v>46202</v>
      </c>
      <c r="K269" t="s">
        <v>20</v>
      </c>
    </row>
    <row r="270" spans="1:1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3">
        <v>46129</v>
      </c>
      <c r="J270" s="3">
        <v>46131</v>
      </c>
      <c r="K270" t="s">
        <v>15</v>
      </c>
    </row>
    <row r="271" spans="1:1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3">
        <v>46135</v>
      </c>
      <c r="J271" s="3">
        <v>46141</v>
      </c>
      <c r="K271" t="s">
        <v>51</v>
      </c>
    </row>
    <row r="272" spans="1:1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3">
        <v>46083</v>
      </c>
      <c r="J272" s="3">
        <v>46085</v>
      </c>
      <c r="K272" t="s">
        <v>29</v>
      </c>
    </row>
    <row r="273" spans="1:1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3">
        <v>46078</v>
      </c>
      <c r="J273" s="3">
        <v>46084</v>
      </c>
      <c r="K273" t="s">
        <v>20</v>
      </c>
    </row>
    <row r="274" spans="1:1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3">
        <v>46172</v>
      </c>
      <c r="J274" s="3">
        <v>46174</v>
      </c>
      <c r="K274" t="s">
        <v>20</v>
      </c>
    </row>
    <row r="275" spans="1:1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3">
        <v>46179</v>
      </c>
      <c r="J275" s="3">
        <v>46186</v>
      </c>
      <c r="K275" t="s">
        <v>20</v>
      </c>
    </row>
    <row r="276" spans="1:1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3">
        <v>46092</v>
      </c>
      <c r="J276" s="3">
        <v>46094</v>
      </c>
      <c r="K276" t="s">
        <v>20</v>
      </c>
    </row>
    <row r="277" spans="1:1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3">
        <v>46097</v>
      </c>
      <c r="J277" s="3">
        <v>46099</v>
      </c>
      <c r="K277" t="s">
        <v>24</v>
      </c>
    </row>
    <row r="278" spans="1:1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3">
        <v>46086</v>
      </c>
      <c r="J278" s="3">
        <v>46089</v>
      </c>
      <c r="K278" t="s">
        <v>15</v>
      </c>
    </row>
    <row r="279" spans="1:1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3">
        <v>46180</v>
      </c>
      <c r="J279" s="3">
        <v>46186</v>
      </c>
      <c r="K279" t="s">
        <v>20</v>
      </c>
    </row>
    <row r="280" spans="1:1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3">
        <v>46124</v>
      </c>
      <c r="J280" s="3">
        <v>46126</v>
      </c>
      <c r="K280" t="s">
        <v>15</v>
      </c>
    </row>
    <row r="281" spans="1:1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3">
        <v>46085</v>
      </c>
      <c r="J281" s="3">
        <v>46095</v>
      </c>
      <c r="K281" t="s">
        <v>51</v>
      </c>
    </row>
    <row r="282" spans="1:1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3">
        <v>46055</v>
      </c>
      <c r="J282" s="3">
        <v>46063</v>
      </c>
      <c r="K282" t="s">
        <v>24</v>
      </c>
    </row>
    <row r="283" spans="1:1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3">
        <v>46176</v>
      </c>
      <c r="J283" s="3">
        <v>46177</v>
      </c>
      <c r="K283" t="s">
        <v>29</v>
      </c>
    </row>
    <row r="284" spans="1:1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3">
        <v>46100</v>
      </c>
      <c r="J284" s="3">
        <v>46106</v>
      </c>
      <c r="K284" t="s">
        <v>15</v>
      </c>
    </row>
    <row r="285" spans="1:1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3">
        <v>46082</v>
      </c>
      <c r="J285" s="3">
        <v>46090</v>
      </c>
      <c r="K285" t="s">
        <v>15</v>
      </c>
    </row>
    <row r="286" spans="1:1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3">
        <v>46055</v>
      </c>
      <c r="J286" s="3">
        <v>46058</v>
      </c>
      <c r="K286" t="s">
        <v>20</v>
      </c>
    </row>
    <row r="287" spans="1:1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3">
        <v>46168</v>
      </c>
      <c r="J287" s="3">
        <v>46173</v>
      </c>
      <c r="K287" t="s">
        <v>15</v>
      </c>
    </row>
    <row r="288" spans="1:1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3">
        <v>46116</v>
      </c>
      <c r="J288" s="3">
        <v>46122</v>
      </c>
      <c r="K288" t="s">
        <v>51</v>
      </c>
    </row>
    <row r="289" spans="1:1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3">
        <v>46179</v>
      </c>
      <c r="J289" s="3">
        <v>46187</v>
      </c>
      <c r="K289" t="s">
        <v>29</v>
      </c>
    </row>
    <row r="290" spans="1:1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3">
        <v>46122</v>
      </c>
      <c r="J290" s="3">
        <v>46130</v>
      </c>
      <c r="K290" t="s">
        <v>24</v>
      </c>
    </row>
    <row r="291" spans="1:1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3">
        <v>46110</v>
      </c>
      <c r="J291" s="3">
        <v>46111</v>
      </c>
      <c r="K291" t="s">
        <v>29</v>
      </c>
    </row>
    <row r="292" spans="1:1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3">
        <v>46137</v>
      </c>
      <c r="J292" s="3">
        <v>46141</v>
      </c>
      <c r="K292" t="s">
        <v>20</v>
      </c>
    </row>
    <row r="293" spans="1:1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3">
        <v>46186</v>
      </c>
      <c r="J293" s="3">
        <v>46193</v>
      </c>
      <c r="K293" t="s">
        <v>20</v>
      </c>
    </row>
    <row r="294" spans="1:1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3">
        <v>46045</v>
      </c>
      <c r="J294" s="3">
        <v>46050</v>
      </c>
      <c r="K294" t="s">
        <v>20</v>
      </c>
    </row>
    <row r="295" spans="1:1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3">
        <v>46181</v>
      </c>
      <c r="J295" s="3">
        <v>46189</v>
      </c>
      <c r="K295" t="s">
        <v>15</v>
      </c>
    </row>
    <row r="296" spans="1:1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3">
        <v>46157</v>
      </c>
      <c r="J296" s="3">
        <v>46162</v>
      </c>
      <c r="K296" t="s">
        <v>15</v>
      </c>
    </row>
    <row r="297" spans="1:1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3">
        <v>46063</v>
      </c>
      <c r="J297" s="3">
        <v>46072</v>
      </c>
      <c r="K297" t="s">
        <v>51</v>
      </c>
    </row>
    <row r="298" spans="1:1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3">
        <v>46178</v>
      </c>
      <c r="J298" s="3">
        <v>46187</v>
      </c>
      <c r="K298" t="s">
        <v>29</v>
      </c>
    </row>
    <row r="299" spans="1:1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3">
        <v>46083</v>
      </c>
      <c r="J299" s="3">
        <v>46093</v>
      </c>
      <c r="K299" t="s">
        <v>24</v>
      </c>
    </row>
    <row r="300" spans="1:1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3">
        <v>46123</v>
      </c>
      <c r="J300" s="3">
        <v>46132</v>
      </c>
      <c r="K300" t="s">
        <v>15</v>
      </c>
    </row>
    <row r="301" spans="1:1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3">
        <v>46110</v>
      </c>
      <c r="J301" s="3">
        <v>46117</v>
      </c>
      <c r="K301" t="s">
        <v>24</v>
      </c>
    </row>
    <row r="302" spans="1:1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3">
        <v>46028</v>
      </c>
      <c r="J302" s="3">
        <v>46038</v>
      </c>
      <c r="K302" t="s">
        <v>24</v>
      </c>
    </row>
    <row r="303" spans="1:1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3">
        <v>46163</v>
      </c>
      <c r="J303" s="3">
        <v>46172</v>
      </c>
      <c r="K303" t="s">
        <v>24</v>
      </c>
    </row>
    <row r="304" spans="1:1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3">
        <v>46124</v>
      </c>
      <c r="J304" s="3">
        <v>46127</v>
      </c>
      <c r="K304" t="s">
        <v>15</v>
      </c>
    </row>
    <row r="305" spans="1:1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3">
        <v>46042</v>
      </c>
      <c r="J305" s="3">
        <v>46051</v>
      </c>
      <c r="K305" t="s">
        <v>51</v>
      </c>
    </row>
    <row r="306" spans="1:1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3">
        <v>46146</v>
      </c>
      <c r="J306" s="3">
        <v>46154</v>
      </c>
      <c r="K306" t="s">
        <v>51</v>
      </c>
    </row>
    <row r="307" spans="1:1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3">
        <v>46191</v>
      </c>
      <c r="J307" s="3">
        <v>46194</v>
      </c>
      <c r="K307" t="s">
        <v>20</v>
      </c>
    </row>
    <row r="308" spans="1:1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3">
        <v>46048</v>
      </c>
      <c r="J308" s="3">
        <v>46051</v>
      </c>
      <c r="K308" t="s">
        <v>51</v>
      </c>
    </row>
    <row r="309" spans="1:1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3">
        <v>46129</v>
      </c>
      <c r="J309" s="3">
        <v>46135</v>
      </c>
      <c r="K309" t="s">
        <v>20</v>
      </c>
    </row>
    <row r="310" spans="1:1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3">
        <v>46197</v>
      </c>
      <c r="J310" s="3">
        <v>46198</v>
      </c>
      <c r="K310" t="s">
        <v>24</v>
      </c>
    </row>
    <row r="311" spans="1:1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3">
        <v>46181</v>
      </c>
      <c r="J311" s="3">
        <v>46189</v>
      </c>
      <c r="K311" t="s">
        <v>29</v>
      </c>
    </row>
    <row r="312" spans="1:1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3">
        <v>46173</v>
      </c>
      <c r="J312" s="3">
        <v>46176</v>
      </c>
      <c r="K312" t="s">
        <v>20</v>
      </c>
    </row>
    <row r="313" spans="1:1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3">
        <v>46148</v>
      </c>
      <c r="J313" s="3">
        <v>46156</v>
      </c>
      <c r="K313" t="s">
        <v>24</v>
      </c>
    </row>
    <row r="314" spans="1:1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3">
        <v>46041</v>
      </c>
      <c r="J314" s="3">
        <v>46049</v>
      </c>
      <c r="K314" t="s">
        <v>15</v>
      </c>
    </row>
    <row r="315" spans="1:1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3">
        <v>46196</v>
      </c>
      <c r="J315" s="3">
        <v>46197</v>
      </c>
      <c r="K315" t="s">
        <v>29</v>
      </c>
    </row>
    <row r="316" spans="1:1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3">
        <v>46186</v>
      </c>
      <c r="J316" s="3">
        <v>46196</v>
      </c>
      <c r="K316" t="s">
        <v>15</v>
      </c>
    </row>
    <row r="317" spans="1:1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3">
        <v>46078</v>
      </c>
      <c r="J317" s="3">
        <v>46085</v>
      </c>
      <c r="K317" t="s">
        <v>20</v>
      </c>
    </row>
    <row r="318" spans="1:1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3">
        <v>46159</v>
      </c>
      <c r="J318" s="3">
        <v>46169</v>
      </c>
      <c r="K318" t="s">
        <v>51</v>
      </c>
    </row>
    <row r="319" spans="1:1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3">
        <v>46169</v>
      </c>
      <c r="J319" s="3">
        <v>46175</v>
      </c>
      <c r="K319" t="s">
        <v>29</v>
      </c>
    </row>
    <row r="320" spans="1:1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3">
        <v>46094</v>
      </c>
      <c r="J320" s="3">
        <v>46102</v>
      </c>
      <c r="K320" t="s">
        <v>15</v>
      </c>
    </row>
    <row r="321" spans="1:1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3">
        <v>46183</v>
      </c>
      <c r="J321" s="3">
        <v>46186</v>
      </c>
      <c r="K321" t="s">
        <v>20</v>
      </c>
    </row>
    <row r="322" spans="1:1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3">
        <v>46107</v>
      </c>
      <c r="J322" s="3">
        <v>46109</v>
      </c>
      <c r="K322" t="s">
        <v>51</v>
      </c>
    </row>
    <row r="323" spans="1:1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3">
        <v>46141</v>
      </c>
      <c r="J323" s="3">
        <v>46146</v>
      </c>
      <c r="K323" t="s">
        <v>15</v>
      </c>
    </row>
    <row r="324" spans="1:1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3">
        <v>46073</v>
      </c>
      <c r="J324" s="3">
        <v>46078</v>
      </c>
      <c r="K324" t="s">
        <v>15</v>
      </c>
    </row>
    <row r="325" spans="1:1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3">
        <v>46053</v>
      </c>
      <c r="J325" s="3">
        <v>46056</v>
      </c>
      <c r="K325" t="s">
        <v>20</v>
      </c>
    </row>
    <row r="326" spans="1:1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3">
        <v>46076</v>
      </c>
      <c r="J326" s="3">
        <v>46085</v>
      </c>
      <c r="K326" t="s">
        <v>20</v>
      </c>
    </row>
    <row r="327" spans="1:1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3">
        <v>46165</v>
      </c>
      <c r="J327" s="3">
        <v>46172</v>
      </c>
      <c r="K327" t="s">
        <v>15</v>
      </c>
    </row>
    <row r="328" spans="1:1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3">
        <v>46152</v>
      </c>
      <c r="J328" s="3">
        <v>46153</v>
      </c>
      <c r="K328" t="s">
        <v>15</v>
      </c>
    </row>
    <row r="329" spans="1:1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3">
        <v>46109</v>
      </c>
      <c r="J329" s="3">
        <v>46114</v>
      </c>
      <c r="K329" t="s">
        <v>29</v>
      </c>
    </row>
    <row r="330" spans="1:1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3">
        <v>46126</v>
      </c>
      <c r="J330" s="3">
        <v>46136</v>
      </c>
      <c r="K330" t="s">
        <v>29</v>
      </c>
    </row>
    <row r="331" spans="1:1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3">
        <v>46032</v>
      </c>
      <c r="J331" s="3">
        <v>46036</v>
      </c>
      <c r="K331" t="s">
        <v>51</v>
      </c>
    </row>
    <row r="332" spans="1:1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3">
        <v>46190</v>
      </c>
      <c r="J332" s="3">
        <v>46200</v>
      </c>
      <c r="K332" t="s">
        <v>15</v>
      </c>
    </row>
    <row r="333" spans="1:1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3">
        <v>46154</v>
      </c>
      <c r="J333" s="3">
        <v>46157</v>
      </c>
      <c r="K333" t="s">
        <v>15</v>
      </c>
    </row>
    <row r="334" spans="1:1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3">
        <v>46145</v>
      </c>
      <c r="J334" s="3">
        <v>46146</v>
      </c>
      <c r="K334" t="s">
        <v>51</v>
      </c>
    </row>
    <row r="335" spans="1:1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3">
        <v>46038</v>
      </c>
      <c r="J335" s="3">
        <v>46047</v>
      </c>
      <c r="K335" t="s">
        <v>51</v>
      </c>
    </row>
    <row r="336" spans="1:1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3">
        <v>46168</v>
      </c>
      <c r="J336" s="3">
        <v>46173</v>
      </c>
      <c r="K336" t="s">
        <v>15</v>
      </c>
    </row>
    <row r="337" spans="1:1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3">
        <v>46086</v>
      </c>
      <c r="J337" s="3">
        <v>46092</v>
      </c>
      <c r="K337" t="s">
        <v>29</v>
      </c>
    </row>
    <row r="338" spans="1:1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3">
        <v>46074</v>
      </c>
      <c r="J338" s="3">
        <v>46080</v>
      </c>
      <c r="K338" t="s">
        <v>29</v>
      </c>
    </row>
    <row r="339" spans="1:1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3">
        <v>46177</v>
      </c>
      <c r="J339" s="3">
        <v>46179</v>
      </c>
      <c r="K339" t="s">
        <v>15</v>
      </c>
    </row>
    <row r="340" spans="1:1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3">
        <v>46142</v>
      </c>
      <c r="J340" s="3">
        <v>46148</v>
      </c>
      <c r="K340" t="s">
        <v>20</v>
      </c>
    </row>
    <row r="341" spans="1:1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3">
        <v>46196</v>
      </c>
      <c r="J341" s="3">
        <v>46198</v>
      </c>
      <c r="K341" t="s">
        <v>51</v>
      </c>
    </row>
    <row r="342" spans="1:1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3">
        <v>46026</v>
      </c>
      <c r="J342" s="3">
        <v>46030</v>
      </c>
      <c r="K342" t="s">
        <v>20</v>
      </c>
    </row>
    <row r="343" spans="1:1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3">
        <v>46132</v>
      </c>
      <c r="J343" s="3">
        <v>46139</v>
      </c>
      <c r="K343" t="s">
        <v>29</v>
      </c>
    </row>
    <row r="344" spans="1:1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3">
        <v>46174</v>
      </c>
      <c r="J344" s="3">
        <v>46179</v>
      </c>
      <c r="K344" t="s">
        <v>15</v>
      </c>
    </row>
    <row r="345" spans="1:1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3">
        <v>46155</v>
      </c>
      <c r="J345" s="3">
        <v>46156</v>
      </c>
      <c r="K345" t="s">
        <v>24</v>
      </c>
    </row>
    <row r="346" spans="1:1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3">
        <v>46095</v>
      </c>
      <c r="J346" s="3">
        <v>46097</v>
      </c>
      <c r="K346" t="s">
        <v>29</v>
      </c>
    </row>
    <row r="347" spans="1:1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3">
        <v>46140</v>
      </c>
      <c r="J347" s="3">
        <v>46142</v>
      </c>
      <c r="K347" t="s">
        <v>29</v>
      </c>
    </row>
    <row r="348" spans="1:1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3">
        <v>46037</v>
      </c>
      <c r="J348" s="3">
        <v>46044</v>
      </c>
      <c r="K348" t="s">
        <v>24</v>
      </c>
    </row>
    <row r="349" spans="1:1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3">
        <v>46048</v>
      </c>
      <c r="J349" s="3">
        <v>46053</v>
      </c>
      <c r="K349" t="s">
        <v>15</v>
      </c>
    </row>
    <row r="350" spans="1:1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3">
        <v>46079</v>
      </c>
      <c r="J350" s="3">
        <v>46083</v>
      </c>
      <c r="K350" t="s">
        <v>20</v>
      </c>
    </row>
    <row r="351" spans="1:1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3">
        <v>46185</v>
      </c>
      <c r="J351" s="3">
        <v>46190</v>
      </c>
      <c r="K351" t="s">
        <v>29</v>
      </c>
    </row>
    <row r="352" spans="1:1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3">
        <v>46026</v>
      </c>
      <c r="J352" s="3">
        <v>46029</v>
      </c>
      <c r="K352" t="s">
        <v>15</v>
      </c>
    </row>
    <row r="353" spans="1:1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3">
        <v>46024</v>
      </c>
      <c r="J353" s="3">
        <v>46033</v>
      </c>
      <c r="K353" t="s">
        <v>15</v>
      </c>
    </row>
    <row r="354" spans="1:1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3">
        <v>46194</v>
      </c>
      <c r="J354" s="3">
        <v>46200</v>
      </c>
      <c r="K354" t="s">
        <v>24</v>
      </c>
    </row>
    <row r="355" spans="1:1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3">
        <v>46118</v>
      </c>
      <c r="J355" s="3">
        <v>46120</v>
      </c>
      <c r="K355" t="s">
        <v>51</v>
      </c>
    </row>
    <row r="356" spans="1:1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3">
        <v>46024</v>
      </c>
      <c r="J356" s="3">
        <v>46031</v>
      </c>
      <c r="K356" t="s">
        <v>51</v>
      </c>
    </row>
    <row r="357" spans="1:1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3">
        <v>46201</v>
      </c>
      <c r="J357" s="3">
        <v>46204</v>
      </c>
      <c r="K357" t="s">
        <v>15</v>
      </c>
    </row>
    <row r="358" spans="1:1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3">
        <v>46133</v>
      </c>
      <c r="J358" s="3">
        <v>46140</v>
      </c>
      <c r="K358" t="s">
        <v>51</v>
      </c>
    </row>
    <row r="359" spans="1:1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3">
        <v>46127</v>
      </c>
      <c r="J359" s="3">
        <v>46129</v>
      </c>
      <c r="K359" t="s">
        <v>20</v>
      </c>
    </row>
    <row r="360" spans="1:1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3">
        <v>46096</v>
      </c>
      <c r="J360" s="3">
        <v>46099</v>
      </c>
      <c r="K360" t="s">
        <v>15</v>
      </c>
    </row>
    <row r="361" spans="1:1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3">
        <v>46146</v>
      </c>
      <c r="J361" s="3">
        <v>46150</v>
      </c>
      <c r="K361" t="s">
        <v>15</v>
      </c>
    </row>
    <row r="362" spans="1:1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3">
        <v>46141</v>
      </c>
      <c r="J362" s="3">
        <v>46145</v>
      </c>
      <c r="K362" t="s">
        <v>20</v>
      </c>
    </row>
    <row r="363" spans="1:1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3">
        <v>46094</v>
      </c>
      <c r="J363" s="3">
        <v>46096</v>
      </c>
      <c r="K363" t="s">
        <v>29</v>
      </c>
    </row>
    <row r="364" spans="1:1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3">
        <v>46122</v>
      </c>
      <c r="J364" s="3">
        <v>46128</v>
      </c>
      <c r="K364" t="s">
        <v>15</v>
      </c>
    </row>
    <row r="365" spans="1:1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3">
        <v>46031</v>
      </c>
      <c r="J365" s="3">
        <v>46033</v>
      </c>
      <c r="K365" t="s">
        <v>51</v>
      </c>
    </row>
    <row r="366" spans="1:1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3">
        <v>46070</v>
      </c>
      <c r="J366" s="3">
        <v>46072</v>
      </c>
      <c r="K366" t="s">
        <v>20</v>
      </c>
    </row>
    <row r="367" spans="1:1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3">
        <v>46047</v>
      </c>
      <c r="J367" s="3">
        <v>46054</v>
      </c>
      <c r="K367" t="s">
        <v>29</v>
      </c>
    </row>
    <row r="368" spans="1:1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3">
        <v>46158</v>
      </c>
      <c r="J368" s="3">
        <v>46168</v>
      </c>
      <c r="K368" t="s">
        <v>29</v>
      </c>
    </row>
    <row r="369" spans="1:1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3">
        <v>46036</v>
      </c>
      <c r="J369" s="3">
        <v>46045</v>
      </c>
      <c r="K369" t="s">
        <v>24</v>
      </c>
    </row>
    <row r="370" spans="1:1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3">
        <v>46062</v>
      </c>
      <c r="J370" s="3">
        <v>46067</v>
      </c>
      <c r="K370" t="s">
        <v>15</v>
      </c>
    </row>
    <row r="371" spans="1:1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3">
        <v>46184</v>
      </c>
      <c r="J371" s="3">
        <v>46188</v>
      </c>
      <c r="K371" t="s">
        <v>15</v>
      </c>
    </row>
    <row r="372" spans="1:1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3">
        <v>46072</v>
      </c>
      <c r="J372" s="3">
        <v>46082</v>
      </c>
      <c r="K372" t="s">
        <v>20</v>
      </c>
    </row>
    <row r="373" spans="1:1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3">
        <v>46161</v>
      </c>
      <c r="J373" s="3">
        <v>46168</v>
      </c>
      <c r="K373" t="s">
        <v>15</v>
      </c>
    </row>
    <row r="374" spans="1:1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3">
        <v>46191</v>
      </c>
      <c r="J374" s="3">
        <v>46201</v>
      </c>
      <c r="K374" t="s">
        <v>20</v>
      </c>
    </row>
    <row r="375" spans="1:1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3">
        <v>46063</v>
      </c>
      <c r="J375" s="3">
        <v>46066</v>
      </c>
      <c r="K375" t="s">
        <v>51</v>
      </c>
    </row>
    <row r="376" spans="1:1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3">
        <v>46052</v>
      </c>
      <c r="J376" s="3">
        <v>46061</v>
      </c>
      <c r="K376" t="s">
        <v>24</v>
      </c>
    </row>
    <row r="377" spans="1:1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3">
        <v>46178</v>
      </c>
      <c r="J377" s="3">
        <v>46184</v>
      </c>
      <c r="K377" t="s">
        <v>20</v>
      </c>
    </row>
    <row r="378" spans="1:1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3">
        <v>46105</v>
      </c>
      <c r="J378" s="3">
        <v>46111</v>
      </c>
      <c r="K378" t="s">
        <v>24</v>
      </c>
    </row>
    <row r="379" spans="1:1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3">
        <v>46074</v>
      </c>
      <c r="J379" s="3">
        <v>46080</v>
      </c>
      <c r="K379" t="s">
        <v>51</v>
      </c>
    </row>
    <row r="380" spans="1:1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3">
        <v>46106</v>
      </c>
      <c r="J380" s="3">
        <v>46107</v>
      </c>
      <c r="K380" t="s">
        <v>20</v>
      </c>
    </row>
    <row r="381" spans="1:1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3">
        <v>46128</v>
      </c>
      <c r="J381" s="3">
        <v>46138</v>
      </c>
      <c r="K381" t="s">
        <v>24</v>
      </c>
    </row>
    <row r="382" spans="1:1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3">
        <v>46089</v>
      </c>
      <c r="J382" s="3">
        <v>46093</v>
      </c>
      <c r="K382" t="s">
        <v>20</v>
      </c>
    </row>
    <row r="383" spans="1:1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3">
        <v>46130</v>
      </c>
      <c r="J383" s="3">
        <v>46134</v>
      </c>
      <c r="K383" t="s">
        <v>15</v>
      </c>
    </row>
    <row r="384" spans="1:1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3">
        <v>46196</v>
      </c>
      <c r="J384" s="3">
        <v>46203</v>
      </c>
      <c r="K384" t="s">
        <v>15</v>
      </c>
    </row>
    <row r="385" spans="1:1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3">
        <v>46074</v>
      </c>
      <c r="J385" s="3">
        <v>46078</v>
      </c>
      <c r="K385" t="s">
        <v>29</v>
      </c>
    </row>
    <row r="386" spans="1:1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3">
        <v>46048</v>
      </c>
      <c r="J386" s="3">
        <v>46053</v>
      </c>
      <c r="K386" t="s">
        <v>51</v>
      </c>
    </row>
    <row r="387" spans="1:1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3">
        <v>46162</v>
      </c>
      <c r="J387" s="3">
        <v>46171</v>
      </c>
      <c r="K387" t="s">
        <v>51</v>
      </c>
    </row>
    <row r="388" spans="1:1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3">
        <v>46102</v>
      </c>
      <c r="J388" s="3">
        <v>46112</v>
      </c>
      <c r="K388" t="s">
        <v>24</v>
      </c>
    </row>
    <row r="389" spans="1:1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3">
        <v>46094</v>
      </c>
      <c r="J389" s="3">
        <v>46096</v>
      </c>
      <c r="K389" t="s">
        <v>20</v>
      </c>
    </row>
    <row r="390" spans="1:1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3">
        <v>46044</v>
      </c>
      <c r="J390" s="3">
        <v>46048</v>
      </c>
      <c r="K390" t="s">
        <v>51</v>
      </c>
    </row>
    <row r="391" spans="1:1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3">
        <v>46076</v>
      </c>
      <c r="J391" s="3">
        <v>46081</v>
      </c>
      <c r="K391" t="s">
        <v>51</v>
      </c>
    </row>
    <row r="392" spans="1:1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3">
        <v>46100</v>
      </c>
      <c r="J392" s="3">
        <v>46103</v>
      </c>
      <c r="K392" t="s">
        <v>24</v>
      </c>
    </row>
    <row r="393" spans="1:1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3">
        <v>46124</v>
      </c>
      <c r="J393" s="3">
        <v>46125</v>
      </c>
      <c r="K393" t="s">
        <v>29</v>
      </c>
    </row>
    <row r="394" spans="1:1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3">
        <v>46047</v>
      </c>
      <c r="J394" s="3">
        <v>46051</v>
      </c>
      <c r="K394" t="s">
        <v>51</v>
      </c>
    </row>
    <row r="395" spans="1:1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3">
        <v>46056</v>
      </c>
      <c r="J395" s="3">
        <v>46057</v>
      </c>
      <c r="K395" t="s">
        <v>15</v>
      </c>
    </row>
    <row r="396" spans="1:1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3">
        <v>46062</v>
      </c>
      <c r="J396" s="3">
        <v>46067</v>
      </c>
      <c r="K396" t="s">
        <v>29</v>
      </c>
    </row>
    <row r="397" spans="1:1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3">
        <v>46031</v>
      </c>
      <c r="J397" s="3">
        <v>46035</v>
      </c>
      <c r="K397" t="s">
        <v>15</v>
      </c>
    </row>
    <row r="398" spans="1:1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3">
        <v>46194</v>
      </c>
      <c r="J398" s="3">
        <v>46201</v>
      </c>
      <c r="K398" t="s">
        <v>51</v>
      </c>
    </row>
    <row r="399" spans="1:1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3">
        <v>46170</v>
      </c>
      <c r="J399" s="3">
        <v>46176</v>
      </c>
      <c r="K399" t="s">
        <v>15</v>
      </c>
    </row>
    <row r="400" spans="1:1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3">
        <v>46089</v>
      </c>
      <c r="J400" s="3">
        <v>46093</v>
      </c>
      <c r="K400" t="s">
        <v>20</v>
      </c>
    </row>
    <row r="401" spans="1:1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3">
        <v>46090</v>
      </c>
      <c r="J401" s="3">
        <v>46092</v>
      </c>
      <c r="K401" t="s">
        <v>20</v>
      </c>
    </row>
  </sheetData>
  <mergeCells count="2">
    <mergeCell ref="L2:M2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SalesData</vt:lpstr>
      <vt:lpstr>Sales_Report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Anusuya Saha</cp:lastModifiedBy>
  <dcterms:created xsi:type="dcterms:W3CDTF">2026-07-20T19:06:55Z</dcterms:created>
  <dcterms:modified xsi:type="dcterms:W3CDTF">2026-09-23T13:47:09Z</dcterms:modified>
</cp:coreProperties>
</file>